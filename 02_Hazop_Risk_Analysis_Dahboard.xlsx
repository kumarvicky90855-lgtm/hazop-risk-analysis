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d.docs.live.net/d66f1a1d83c127cf/Desktop/Preparation Of Internship And Placement/Hazop_Risk_Analysis_Project/"/>
    </mc:Choice>
  </mc:AlternateContent>
  <xr:revisionPtr revIDLastSave="25" documentId="8_{3709CD27-6276-4146-B3EB-24638E2D2766}" xr6:coauthVersionLast="47" xr6:coauthVersionMax="47" xr10:uidLastSave="{5397DA11-D60B-4DC7-BD5A-0F0B746AFCC2}"/>
  <bookViews>
    <workbookView xWindow="-108" yWindow="-108" windowWidth="23256" windowHeight="12456" activeTab="1" xr2:uid="{8CD84C92-406A-4A8B-8A94-3C8D28B3C67E}"/>
  </bookViews>
  <sheets>
    <sheet name="hazop_risk_analysis_uncleaned" sheetId="3" r:id="rId1"/>
    <sheet name="hazop_risk_analysis_cleaned" sheetId="2" r:id="rId2"/>
    <sheet name="KPI SECTION" sheetId="4" r:id="rId3"/>
    <sheet name="Supportive_Pivot_table" sheetId="5" r:id="rId4"/>
    <sheet name="hazop_risk_analysis" sheetId="6" r:id="rId5"/>
  </sheets>
  <definedNames>
    <definedName name="ExternalData_1" localSheetId="1" hidden="1">hazop_risk_analysis_cleaned!$A$1:$S$165</definedName>
    <definedName name="ExternalData_1" localSheetId="0" hidden="1">hazop_risk_analysis_uncleaned!$A$1:$O$207</definedName>
    <definedName name="NativeTimeline_Study_Date">#N/A</definedName>
    <definedName name="Slicer_Cause">#N/A</definedName>
    <definedName name="Slicer_Deviation">#N/A</definedName>
    <definedName name="Slicer_Node">#N/A</definedName>
    <definedName name="Slicer_Parameter">#N/A</definedName>
    <definedName name="Slicer_Responsible_Team">#N/A</definedName>
    <definedName name="Slicer_Status">#N/A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8" i="2" l="1"/>
  <c r="W3" i="2" l="1"/>
  <c r="W5" i="2"/>
  <c r="S168" i="2"/>
  <c r="R168" i="2"/>
  <c r="Q168" i="2"/>
  <c r="P168" i="2"/>
  <c r="O168" i="2"/>
  <c r="A168" i="2"/>
  <c r="B168" i="2"/>
  <c r="N168" i="2"/>
  <c r="M168" i="2"/>
  <c r="L168" i="2"/>
  <c r="K168" i="2"/>
  <c r="J168" i="2"/>
  <c r="I168" i="2"/>
  <c r="H168" i="2"/>
  <c r="G168" i="2"/>
  <c r="F168" i="2"/>
  <c r="E168" i="2"/>
  <c r="D168" i="2"/>
  <c r="C168"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664049F-A70C-453E-8A94-C11209520D74}" keepAlive="1" name="Query - hazop_risk_analysis_cleaned" description="Connection to the 'hazop_risk_analysis_cleaned' query in the workbook." type="5" refreshedVersion="8" background="1" saveData="1">
    <dbPr connection="Provider=Microsoft.Mashup.OleDb.1;Data Source=$Workbook$;Location=hazop_risk_analysis_cleaned;Extended Properties=&quot;&quot;" command="SELECT * FROM [hazop_risk_analysis_cleaned]"/>
  </connection>
  <connection id="2" xr16:uid="{D94524B4-06CA-4425-8AB1-CE07775148E3}" keepAlive="1" name="Query - hazop_risk_analysis_uncleaned" description="Connection to the 'hazop_risk_analysis_uncleaned' query in the workbook." type="5" refreshedVersion="8" background="1" saveData="1">
    <dbPr connection="Provider=Microsoft.Mashup.OleDb.1;Data Source=$Workbook$;Location=hazop_risk_analysis_uncleaned;Extended Properties=&quot;&quot;" command="SELECT * FROM [hazop_risk_analysis_uncleaned]"/>
  </connection>
</connections>
</file>

<file path=xl/sharedStrings.xml><?xml version="1.0" encoding="utf-8"?>
<sst xmlns="http://schemas.openxmlformats.org/spreadsheetml/2006/main" count="4822" uniqueCount="621">
  <si>
    <t>HAZOP_ID</t>
  </si>
  <si>
    <t>Study Date</t>
  </si>
  <si>
    <t>Node</t>
  </si>
  <si>
    <t>Parameter</t>
  </si>
  <si>
    <t>Guide Word</t>
  </si>
  <si>
    <t>Deviation</t>
  </si>
  <si>
    <t>Cause</t>
  </si>
  <si>
    <t>Consequence</t>
  </si>
  <si>
    <t>Safeguard</t>
  </si>
  <si>
    <t>Severity</t>
  </si>
  <si>
    <t>Likelihood</t>
  </si>
  <si>
    <t>Risk Rating</t>
  </si>
  <si>
    <t>Recommended Action</t>
  </si>
  <si>
    <t>Responsible Team</t>
  </si>
  <si>
    <t>Status</t>
  </si>
  <si>
    <t>2023-11-25</t>
  </si>
  <si>
    <t>Distillation column C-301</t>
  </si>
  <si>
    <t>Reaction Rate</t>
  </si>
  <si>
    <t>Reverse</t>
  </si>
  <si>
    <t>Reverse Reaction Rate</t>
  </si>
  <si>
    <t>Valve closed inadvertently</t>
  </si>
  <si>
    <t>Equipment damage</t>
  </si>
  <si>
    <t>Operator training</t>
  </si>
  <si>
    <t>12 Jan 2024</t>
  </si>
  <si>
    <t xml:space="preserve">  Feed Line to R-101   </t>
  </si>
  <si>
    <t>Part Of</t>
  </si>
  <si>
    <t>Part Of Reaction Rate</t>
  </si>
  <si>
    <t xml:space="preserve">  Blockage in line   </t>
  </si>
  <si>
    <t xml:space="preserve">  Overpressure of vessel   </t>
  </si>
  <si>
    <t xml:space="preserve">  Emergency shutdown (ESD)   </t>
  </si>
  <si>
    <t>1</t>
  </si>
  <si>
    <t>Frequent</t>
  </si>
  <si>
    <t>Upgrade instrumentation</t>
  </si>
  <si>
    <t>Ops Team</t>
  </si>
  <si>
    <t>In Progress</t>
  </si>
  <si>
    <t>30-07-2024</t>
  </si>
  <si>
    <t>Reactor R101</t>
  </si>
  <si>
    <t>pH</t>
  </si>
  <si>
    <t>more</t>
  </si>
  <si>
    <t>more pH</t>
  </si>
  <si>
    <t>Control loop failure</t>
  </si>
  <si>
    <t>Fire hazard</t>
  </si>
  <si>
    <t>High level alarm</t>
  </si>
  <si>
    <t>2</t>
  </si>
  <si>
    <t>No action required</t>
  </si>
  <si>
    <t>Process Safety</t>
  </si>
  <si>
    <t>CLOSED</t>
  </si>
  <si>
    <t>27-06-2024</t>
  </si>
  <si>
    <t>Level</t>
  </si>
  <si>
    <t>As Well As</t>
  </si>
  <si>
    <t>As Well As Level</t>
  </si>
  <si>
    <t>Pump failure</t>
  </si>
  <si>
    <t>loss of containment</t>
  </si>
  <si>
    <t>3</t>
  </si>
  <si>
    <t>rare</t>
  </si>
  <si>
    <t>process safety</t>
  </si>
  <si>
    <t>Open</t>
  </si>
  <si>
    <t>10/22/2023</t>
  </si>
  <si>
    <t>Pump P-501</t>
  </si>
  <si>
    <t xml:space="preserve">Flow </t>
  </si>
  <si>
    <t>No</t>
  </si>
  <si>
    <t>No Flow</t>
  </si>
  <si>
    <t>Wrong valve alignment</t>
  </si>
  <si>
    <t>Vessel overflow</t>
  </si>
  <si>
    <t>PRV</t>
  </si>
  <si>
    <t>Low</t>
  </si>
  <si>
    <t>Rare</t>
  </si>
  <si>
    <t>LowxRare</t>
  </si>
  <si>
    <t>Add high-level alarm</t>
  </si>
  <si>
    <t>Maintenance</t>
  </si>
  <si>
    <t>2023/01/07</t>
  </si>
  <si>
    <t xml:space="preserve">feed line to R-101 </t>
  </si>
  <si>
    <t>Less</t>
  </si>
  <si>
    <t>Less Level</t>
  </si>
  <si>
    <t>Runaway reaction</t>
  </si>
  <si>
    <t>install additional prv</t>
  </si>
  <si>
    <t>Pending</t>
  </si>
  <si>
    <t>11 Jun 2024</t>
  </si>
  <si>
    <t>Separator V701</t>
  </si>
  <si>
    <t>Less Reaction Rate</t>
  </si>
  <si>
    <t>N/A</t>
  </si>
  <si>
    <t>in-progress</t>
  </si>
  <si>
    <t>2023/07/05</t>
  </si>
  <si>
    <t>Boiler B-801</t>
  </si>
  <si>
    <t>Part Of Flow</t>
  </si>
  <si>
    <t>pump failure</t>
  </si>
  <si>
    <t>Overpressure of vessel</t>
  </si>
  <si>
    <t>5</t>
  </si>
  <si>
    <t>Install additional PRV</t>
  </si>
  <si>
    <t>2024-10-07</t>
  </si>
  <si>
    <t>Heat Exchanger E-401</t>
  </si>
  <si>
    <t>Pressure</t>
  </si>
  <si>
    <t>Less Pressure</t>
  </si>
  <si>
    <t>Loss of containment</t>
  </si>
  <si>
    <t>Regular maintenance</t>
  </si>
  <si>
    <t>18-05-2024</t>
  </si>
  <si>
    <t xml:space="preserve">  Cooling water loop   </t>
  </si>
  <si>
    <t>Part Of Level</t>
  </si>
  <si>
    <t xml:space="preserve">  Toxic release   </t>
  </si>
  <si>
    <t xml:space="preserve">  N/A   </t>
  </si>
  <si>
    <t>05 Nov 2024</t>
  </si>
  <si>
    <t>heat exchanger E401</t>
  </si>
  <si>
    <t>Flow</t>
  </si>
  <si>
    <t>Early</t>
  </si>
  <si>
    <t>Early Flow</t>
  </si>
  <si>
    <t>Utility failure</t>
  </si>
  <si>
    <t>Explosion risk</t>
  </si>
  <si>
    <t>Pressure relief valve</t>
  </si>
  <si>
    <t>28 Mar 2024</t>
  </si>
  <si>
    <t>Temperature</t>
  </si>
  <si>
    <t xml:space="preserve">MORE </t>
  </si>
  <si>
    <t>MORE Temperature</t>
  </si>
  <si>
    <t>Occasional</t>
  </si>
  <si>
    <t>21-07-2024</t>
  </si>
  <si>
    <t>Cooling Water Loop</t>
  </si>
  <si>
    <t>Late</t>
  </si>
  <si>
    <t>Instrument malfunction</t>
  </si>
  <si>
    <t>Toxic release</t>
  </si>
  <si>
    <t>Redundant instrumentation</t>
  </si>
  <si>
    <t>high</t>
  </si>
  <si>
    <t>highxOccasional</t>
  </si>
  <si>
    <t>Closed</t>
  </si>
  <si>
    <t>2023-07-12</t>
  </si>
  <si>
    <t>Compressor K-601</t>
  </si>
  <si>
    <t xml:space="preserve">operator error </t>
  </si>
  <si>
    <t>Emergency shutdown (ESD)</t>
  </si>
  <si>
    <t>highxRare</t>
  </si>
  <si>
    <t>02/09/2024</t>
  </si>
  <si>
    <t>storage tank T-201</t>
  </si>
  <si>
    <t>temperature</t>
  </si>
  <si>
    <t>No temperature</t>
  </si>
  <si>
    <t>Power failure</t>
  </si>
  <si>
    <t>High temperature excursion</t>
  </si>
  <si>
    <t>Operations</t>
  </si>
  <si>
    <t>12-09-2023</t>
  </si>
  <si>
    <t>Composition</t>
  </si>
  <si>
    <t>more Composition</t>
  </si>
  <si>
    <t>Interlock system</t>
  </si>
  <si>
    <t>9</t>
  </si>
  <si>
    <t>2023-10-16</t>
  </si>
  <si>
    <t>more Level</t>
  </si>
  <si>
    <t>Excessive feed rate</t>
  </si>
  <si>
    <t>Conduct refresher training</t>
  </si>
  <si>
    <t>Early Level</t>
  </si>
  <si>
    <t>Operator error</t>
  </si>
  <si>
    <t>open</t>
  </si>
  <si>
    <t>2024-10-18</t>
  </si>
  <si>
    <t>Separator V-701</t>
  </si>
  <si>
    <t>More</t>
  </si>
  <si>
    <t>More Reaction Rate</t>
  </si>
  <si>
    <t>Product off-spec</t>
  </si>
  <si>
    <t>01/27/2023</t>
  </si>
  <si>
    <t>High-level alarm</t>
  </si>
  <si>
    <t>15</t>
  </si>
  <si>
    <t>26 Mar 2023</t>
  </si>
  <si>
    <t>MORE Flow</t>
  </si>
  <si>
    <t>Blockage in line</t>
  </si>
  <si>
    <t>2024-05-05</t>
  </si>
  <si>
    <t>Feed Line to R-101</t>
  </si>
  <si>
    <t>Other Than</t>
  </si>
  <si>
    <t>Other Than pH</t>
  </si>
  <si>
    <t>08 Dec 2023</t>
  </si>
  <si>
    <t>Cooling water loss</t>
  </si>
  <si>
    <t>03-11-2023</t>
  </si>
  <si>
    <t>reactor r-101</t>
  </si>
  <si>
    <t>MORE Level</t>
  </si>
  <si>
    <t>02 Oct 2023</t>
  </si>
  <si>
    <t>flow</t>
  </si>
  <si>
    <t>More flow</t>
  </si>
  <si>
    <t>2024/05/17</t>
  </si>
  <si>
    <t>Storage Tank T-201</t>
  </si>
  <si>
    <t>NO</t>
  </si>
  <si>
    <t>NO Pressure</t>
  </si>
  <si>
    <t>med</t>
  </si>
  <si>
    <t>medx5</t>
  </si>
  <si>
    <t>29-03-2023</t>
  </si>
  <si>
    <t>Lowx2</t>
  </si>
  <si>
    <t xml:space="preserve">  Reactor R101   </t>
  </si>
  <si>
    <t xml:space="preserve">  Operator error   </t>
  </si>
  <si>
    <t>2024/03/04</t>
  </si>
  <si>
    <t>08/20/2023</t>
  </si>
  <si>
    <t>Late Flow</t>
  </si>
  <si>
    <t>Corrosion of pipeline</t>
  </si>
  <si>
    <t>25 Jan 2024</t>
  </si>
  <si>
    <t>Early temperature</t>
  </si>
  <si>
    <t>4</t>
  </si>
  <si>
    <t>medx4</t>
  </si>
  <si>
    <t>26-06-2023</t>
  </si>
  <si>
    <t>As Well As Reaction Rate</t>
  </si>
  <si>
    <t>High</t>
  </si>
  <si>
    <t>Highx2</t>
  </si>
  <si>
    <t>Review SOP</t>
  </si>
  <si>
    <t>12 Mar 2023</t>
  </si>
  <si>
    <t>Part Of temperature</t>
  </si>
  <si>
    <t>2023-05-27</t>
  </si>
  <si>
    <t>More Flow</t>
  </si>
  <si>
    <t>Other Than Pressure</t>
  </si>
  <si>
    <t>20-07-2024</t>
  </si>
  <si>
    <t>Other Than Flow</t>
  </si>
  <si>
    <t>Lowxrare</t>
  </si>
  <si>
    <t>2024/01/25</t>
  </si>
  <si>
    <t>Reverse Level</t>
  </si>
  <si>
    <t xml:space="preserve">  pump failure   </t>
  </si>
  <si>
    <t xml:space="preserve">  loss of containment   </t>
  </si>
  <si>
    <t xml:space="preserve">  Pressure relief valve   </t>
  </si>
  <si>
    <t>07 May 2023</t>
  </si>
  <si>
    <t>unknown deviation</t>
  </si>
  <si>
    <t>Medium</t>
  </si>
  <si>
    <t>Mediumx1</t>
  </si>
  <si>
    <t>2023/10/23</t>
  </si>
  <si>
    <t>No flow</t>
  </si>
  <si>
    <t>medxrare</t>
  </si>
  <si>
    <t>16-03-2023</t>
  </si>
  <si>
    <t>Distillation Column C-301</t>
  </si>
  <si>
    <t>Environmental release</t>
  </si>
  <si>
    <t>26 Dec 2023</t>
  </si>
  <si>
    <t>Mediumx3</t>
  </si>
  <si>
    <t>26-05-2023</t>
  </si>
  <si>
    <t>MORE Pressure</t>
  </si>
  <si>
    <t>2024-01-29</t>
  </si>
  <si>
    <t>More Temperature</t>
  </si>
  <si>
    <t>02/10/2023</t>
  </si>
  <si>
    <t>more Flow</t>
  </si>
  <si>
    <t>06 Mar 2024</t>
  </si>
  <si>
    <t>LowxOccasional</t>
  </si>
  <si>
    <t>29-04-2024</t>
  </si>
  <si>
    <t>As Well As Temperature</t>
  </si>
  <si>
    <t>medx3</t>
  </si>
  <si>
    <t>10 Apr 2023</t>
  </si>
  <si>
    <t>Other Than Level</t>
  </si>
  <si>
    <t>07-06-2024</t>
  </si>
  <si>
    <t>HighxFrequent</t>
  </si>
  <si>
    <t>06/24/2024</t>
  </si>
  <si>
    <t>medx2</t>
  </si>
  <si>
    <t>10-11-2024</t>
  </si>
  <si>
    <t>Less pH</t>
  </si>
  <si>
    <t>02/13/2024</t>
  </si>
  <si>
    <t>As Well As pH</t>
  </si>
  <si>
    <t>highx4</t>
  </si>
  <si>
    <t>2024-10-09</t>
  </si>
  <si>
    <t>01 Dec 2023</t>
  </si>
  <si>
    <t>6</t>
  </si>
  <si>
    <t>30-03-2023</t>
  </si>
  <si>
    <t>01 Jul 2023</t>
  </si>
  <si>
    <t xml:space="preserve">  Reactor R-101   </t>
  </si>
  <si>
    <t xml:space="preserve">  Wrong valve alignment   </t>
  </si>
  <si>
    <t>12</t>
  </si>
  <si>
    <t>2023/03/02</t>
  </si>
  <si>
    <t>Lowx4</t>
  </si>
  <si>
    <t>2023/06/07</t>
  </si>
  <si>
    <t>12-11-2023</t>
  </si>
  <si>
    <t>2023-10-05</t>
  </si>
  <si>
    <t xml:space="preserve">  heat exchanger E401   </t>
  </si>
  <si>
    <t xml:space="preserve">  Cooling water loss   </t>
  </si>
  <si>
    <t xml:space="preserve">  High temperature excursion   </t>
  </si>
  <si>
    <t xml:space="preserve">  Redundant instrumentation   </t>
  </si>
  <si>
    <t>16</t>
  </si>
  <si>
    <t>12-01-2024</t>
  </si>
  <si>
    <t>2023/03/25</t>
  </si>
  <si>
    <t>06/14/2023</t>
  </si>
  <si>
    <t>More pH</t>
  </si>
  <si>
    <t>10</t>
  </si>
  <si>
    <t>02/22/2023</t>
  </si>
  <si>
    <t>Reverse temperature</t>
  </si>
  <si>
    <t>01-06-2023</t>
  </si>
  <si>
    <t>MediumxRare</t>
  </si>
  <si>
    <t>2024-05-16</t>
  </si>
  <si>
    <t>2023/09/04</t>
  </si>
  <si>
    <t xml:space="preserve">  Utility failure   </t>
  </si>
  <si>
    <t xml:space="preserve">  Interlock system   </t>
  </si>
  <si>
    <t>04 Sep 2023</t>
  </si>
  <si>
    <t>Cooling water loop</t>
  </si>
  <si>
    <t>MORE Reaction Rate</t>
  </si>
  <si>
    <t>29 Jul 2024</t>
  </si>
  <si>
    <t>31 Oct 2024</t>
  </si>
  <si>
    <t>No pH</t>
  </si>
  <si>
    <t>19-05-2024</t>
  </si>
  <si>
    <t xml:space="preserve">  Storage Tank T-201   </t>
  </si>
  <si>
    <t>Other Than Temperature</t>
  </si>
  <si>
    <t xml:space="preserve">  Valve closed inadvertently   </t>
  </si>
  <si>
    <t xml:space="preserve">  Equipment damage   </t>
  </si>
  <si>
    <t>2024/07/06</t>
  </si>
  <si>
    <t>11/16/2023</t>
  </si>
  <si>
    <t xml:space="preserve">  Boiler B-801   </t>
  </si>
  <si>
    <t xml:space="preserve">  Loss of containment   </t>
  </si>
  <si>
    <t xml:space="preserve">  High level alarm   </t>
  </si>
  <si>
    <t>LowxFrequent</t>
  </si>
  <si>
    <t>2024-04-20</t>
  </si>
  <si>
    <t>23-02-2023</t>
  </si>
  <si>
    <t>2024/05/12</t>
  </si>
  <si>
    <t>More Pressure</t>
  </si>
  <si>
    <t>05/30/2023</t>
  </si>
  <si>
    <t xml:space="preserve">  Distillation column C-301   </t>
  </si>
  <si>
    <t>Early Pressure</t>
  </si>
  <si>
    <t xml:space="preserve">  Vessel overflow   </t>
  </si>
  <si>
    <t>24 May 2024</t>
  </si>
  <si>
    <t>Part Of Pressure</t>
  </si>
  <si>
    <t>09-09-2023</t>
  </si>
  <si>
    <t>more Reaction Rate</t>
  </si>
  <si>
    <t xml:space="preserve">  Corrosion of pipeline   </t>
  </si>
  <si>
    <t xml:space="preserve">  Environmental release   </t>
  </si>
  <si>
    <t>08/15/2023</t>
  </si>
  <si>
    <t>Other Than flow</t>
  </si>
  <si>
    <t>Mediumx5</t>
  </si>
  <si>
    <t>11/17/2024</t>
  </si>
  <si>
    <t>19 Mar 2023</t>
  </si>
  <si>
    <t>05-01-2024</t>
  </si>
  <si>
    <t>15-07-2023</t>
  </si>
  <si>
    <t>Late Composition</t>
  </si>
  <si>
    <t>26-02-2024</t>
  </si>
  <si>
    <t>Reactor R-101</t>
  </si>
  <si>
    <t>2024-08-01</t>
  </si>
  <si>
    <t>Pump p-501</t>
  </si>
  <si>
    <t>Reverse Flow</t>
  </si>
  <si>
    <t>10/22/2024</t>
  </si>
  <si>
    <t>Less Composition</t>
  </si>
  <si>
    <t>01/22/2023</t>
  </si>
  <si>
    <t>2024-02-15</t>
  </si>
  <si>
    <t>NO Reaction Rate</t>
  </si>
  <si>
    <t>Lowx5</t>
  </si>
  <si>
    <t>Mediumxrare</t>
  </si>
  <si>
    <t>2024-07-13</t>
  </si>
  <si>
    <t>06/27/2024</t>
  </si>
  <si>
    <t>Reverse pH</t>
  </si>
  <si>
    <t>medxFrequent</t>
  </si>
  <si>
    <t>09 Sep 2023</t>
  </si>
  <si>
    <t>10/30/2023</t>
  </si>
  <si>
    <t>2023/05/23</t>
  </si>
  <si>
    <t xml:space="preserve">  Separator V701   </t>
  </si>
  <si>
    <t>17 May 2024</t>
  </si>
  <si>
    <t>Reverse flow</t>
  </si>
  <si>
    <t xml:space="preserve">  PRV   </t>
  </si>
  <si>
    <t>MediumxOccasional</t>
  </si>
  <si>
    <t>13 Jul 2024</t>
  </si>
  <si>
    <t>Late pH</t>
  </si>
  <si>
    <t>Highx3</t>
  </si>
  <si>
    <t>2023-08-04</t>
  </si>
  <si>
    <t>2023-09-02</t>
  </si>
  <si>
    <t xml:space="preserve">  Operator training   </t>
  </si>
  <si>
    <t>Highx4</t>
  </si>
  <si>
    <t>2024/04/04</t>
  </si>
  <si>
    <t>Less Temperature</t>
  </si>
  <si>
    <t>18-02-2023</t>
  </si>
  <si>
    <t>2023/01/27</t>
  </si>
  <si>
    <t>Part Of pH</t>
  </si>
  <si>
    <t>20</t>
  </si>
  <si>
    <t>09/27/2024</t>
  </si>
  <si>
    <t>NO Flow</t>
  </si>
  <si>
    <t>05/14/2023</t>
  </si>
  <si>
    <t xml:space="preserve">  Separator V-701   </t>
  </si>
  <si>
    <t>NO pH</t>
  </si>
  <si>
    <t xml:space="preserve">  Runaway reaction   </t>
  </si>
  <si>
    <t>2023/11/04</t>
  </si>
  <si>
    <t xml:space="preserve">  Distillation Column C-301   </t>
  </si>
  <si>
    <t xml:space="preserve">  Instrument malfunction   </t>
  </si>
  <si>
    <t xml:space="preserve">  High-level alarm   </t>
  </si>
  <si>
    <t>04/16/2024</t>
  </si>
  <si>
    <t>more Temperature</t>
  </si>
  <si>
    <t>09/10/2024</t>
  </si>
  <si>
    <t>Other Than Reaction Rate</t>
  </si>
  <si>
    <t>2023/03/24</t>
  </si>
  <si>
    <t>Part Of Temperature</t>
  </si>
  <si>
    <t>12/30/2023</t>
  </si>
  <si>
    <t>2023/11/06</t>
  </si>
  <si>
    <t>2024-03-05</t>
  </si>
  <si>
    <t>08-12-2023</t>
  </si>
  <si>
    <t>20 Aug 2024</t>
  </si>
  <si>
    <t>06-11-2023</t>
  </si>
  <si>
    <t>2024-04-07</t>
  </si>
  <si>
    <t>Highxrare</t>
  </si>
  <si>
    <t>02 Nov 2023</t>
  </si>
  <si>
    <t>Other Than Composition</t>
  </si>
  <si>
    <t>01/24/2024</t>
  </si>
  <si>
    <t>Lowx3</t>
  </si>
  <si>
    <t>2024-06-03</t>
  </si>
  <si>
    <t xml:space="preserve">  Fire hazard   </t>
  </si>
  <si>
    <t>06 Jan 2024</t>
  </si>
  <si>
    <t>More Composition</t>
  </si>
  <si>
    <t>30-06-2023</t>
  </si>
  <si>
    <t>09-04-2024</t>
  </si>
  <si>
    <t>MORE temperature</t>
  </si>
  <si>
    <t>2024-08-07</t>
  </si>
  <si>
    <t>2024/07/02</t>
  </si>
  <si>
    <t>2023-03-12</t>
  </si>
  <si>
    <t>highx2</t>
  </si>
  <si>
    <t>20 Apr 2024</t>
  </si>
  <si>
    <t>14-03-2023</t>
  </si>
  <si>
    <t xml:space="preserve">  Heat Exchanger E-401   </t>
  </si>
  <si>
    <t>20 Jul 2023</t>
  </si>
  <si>
    <t>MORE Composition</t>
  </si>
  <si>
    <t>HighxOccasional</t>
  </si>
  <si>
    <t>13-11-2024</t>
  </si>
  <si>
    <t>Late temperature</t>
  </si>
  <si>
    <t>03/17/2023</t>
  </si>
  <si>
    <t>No Reaction Rate</t>
  </si>
  <si>
    <t>medx1</t>
  </si>
  <si>
    <t>2024/05/04</t>
  </si>
  <si>
    <t>12-05-2024</t>
  </si>
  <si>
    <t>25-02-2023</t>
  </si>
  <si>
    <t>02-08-2024</t>
  </si>
  <si>
    <t>2024-02-25</t>
  </si>
  <si>
    <t>2024/04/28</t>
  </si>
  <si>
    <t>Early Reaction Rate</t>
  </si>
  <si>
    <t xml:space="preserve">  Pump failure   </t>
  </si>
  <si>
    <t>11/20/2023</t>
  </si>
  <si>
    <t>17 Mar 2024</t>
  </si>
  <si>
    <t>04/05/2024</t>
  </si>
  <si>
    <t>21-12-2023</t>
  </si>
  <si>
    <t>Late Temperature</t>
  </si>
  <si>
    <t>2024-02-14</t>
  </si>
  <si>
    <t>20 Jul 2024</t>
  </si>
  <si>
    <t>Late Pressure</t>
  </si>
  <si>
    <t>2024/01/24</t>
  </si>
  <si>
    <t>06-10-2024</t>
  </si>
  <si>
    <t>11/04/2023</t>
  </si>
  <si>
    <t>Early pH</t>
  </si>
  <si>
    <t>25-08-2023</t>
  </si>
  <si>
    <t>01-01-2024</t>
  </si>
  <si>
    <t>Highx5</t>
  </si>
  <si>
    <t>2024/03/28</t>
  </si>
  <si>
    <t>Early Composition</t>
  </si>
  <si>
    <t>medxRare</t>
  </si>
  <si>
    <t>26 Sep 2024</t>
  </si>
  <si>
    <t>02 May 2023</t>
  </si>
  <si>
    <t xml:space="preserve">  Pump P-501   </t>
  </si>
  <si>
    <t xml:space="preserve">  Excessive feed rate   </t>
  </si>
  <si>
    <t xml:space="preserve">  Product off-spec   </t>
  </si>
  <si>
    <t>2024/07/31</t>
  </si>
  <si>
    <t>Mediumx2</t>
  </si>
  <si>
    <t>2024-05-27</t>
  </si>
  <si>
    <t>2023/07/23</t>
  </si>
  <si>
    <t xml:space="preserve">  operator error    </t>
  </si>
  <si>
    <t>2023-09-27</t>
  </si>
  <si>
    <t>Lowx1</t>
  </si>
  <si>
    <t>2023/02/07</t>
  </si>
  <si>
    <t>04/11/2023</t>
  </si>
  <si>
    <t>09 Apr 2024</t>
  </si>
  <si>
    <t>01/15/2023</t>
  </si>
  <si>
    <t>2024/01/18</t>
  </si>
  <si>
    <t>2024-08-06</t>
  </si>
  <si>
    <t>Highx1</t>
  </si>
  <si>
    <t>2023-08-27</t>
  </si>
  <si>
    <t>07/28/2024</t>
  </si>
  <si>
    <t>02/07/2024</t>
  </si>
  <si>
    <t>2023/12/08</t>
  </si>
  <si>
    <t>2024/05/29</t>
  </si>
  <si>
    <t>2023/02/16</t>
  </si>
  <si>
    <t>more flow</t>
  </si>
  <si>
    <t>09/11/2023</t>
  </si>
  <si>
    <t>Late Reaction Rate</t>
  </si>
  <si>
    <t>28-02-2024</t>
  </si>
  <si>
    <t>2024-11-17</t>
  </si>
  <si>
    <t>MediumxFrequent</t>
  </si>
  <si>
    <t>08/19/2023</t>
  </si>
  <si>
    <t xml:space="preserve">  storage tank T-201   </t>
  </si>
  <si>
    <t>16 Aug 2024</t>
  </si>
  <si>
    <t>25</t>
  </si>
  <si>
    <t>02/23/2023</t>
  </si>
  <si>
    <t>2024-08-16</t>
  </si>
  <si>
    <t>No Level</t>
  </si>
  <si>
    <t>2023/02/27</t>
  </si>
  <si>
    <t>08/10/2024</t>
  </si>
  <si>
    <t>2023/07/04</t>
  </si>
  <si>
    <t>Early flow</t>
  </si>
  <si>
    <t>23 Nov 2023</t>
  </si>
  <si>
    <t>06/13/2024</t>
  </si>
  <si>
    <t>2023-07-04</t>
  </si>
  <si>
    <t>NO Level</t>
  </si>
  <si>
    <t>01/03/2024</t>
  </si>
  <si>
    <t>2024-09-05</t>
  </si>
  <si>
    <t>Less flow</t>
  </si>
  <si>
    <t>2024-11-08</t>
  </si>
  <si>
    <t>06/15/2023</t>
  </si>
  <si>
    <t>highx3</t>
  </si>
  <si>
    <t>2023-05-11</t>
  </si>
  <si>
    <t>2024-11-26</t>
  </si>
  <si>
    <t>2023/01/17</t>
  </si>
  <si>
    <t>09/29/2023</t>
  </si>
  <si>
    <t>2023-11-06</t>
  </si>
  <si>
    <t>12 Nov 2023</t>
  </si>
  <si>
    <t>Part Of flow</t>
  </si>
  <si>
    <t>03/18/2023</t>
  </si>
  <si>
    <t>2024-06-01</t>
  </si>
  <si>
    <t>MORE flow</t>
  </si>
  <si>
    <t>24 Sep 2024</t>
  </si>
  <si>
    <t>2024-04-15</t>
  </si>
  <si>
    <t>2024/10/25</t>
  </si>
  <si>
    <t>Other Than temperature</t>
  </si>
  <si>
    <t>11-10-2023</t>
  </si>
  <si>
    <t>23 Feb 2024</t>
  </si>
  <si>
    <t>Less Flow</t>
  </si>
  <si>
    <t>2023/01/16</t>
  </si>
  <si>
    <t>Year</t>
  </si>
  <si>
    <t>Quarter</t>
  </si>
  <si>
    <t>Month Name</t>
  </si>
  <si>
    <t>Day Name</t>
  </si>
  <si>
    <t>November</t>
  </si>
  <si>
    <t>Saturday</t>
  </si>
  <si>
    <t>January</t>
  </si>
  <si>
    <t>Friday</t>
  </si>
  <si>
    <t>July</t>
  </si>
  <si>
    <t>Tuesday</t>
  </si>
  <si>
    <t>June</t>
  </si>
  <si>
    <t>Thursday</t>
  </si>
  <si>
    <t>Node Not Specified</t>
  </si>
  <si>
    <t>October</t>
  </si>
  <si>
    <t>Sunday</t>
  </si>
  <si>
    <t>Wednesday</t>
  </si>
  <si>
    <t>Monday</t>
  </si>
  <si>
    <t>May</t>
  </si>
  <si>
    <t>March</t>
  </si>
  <si>
    <t>Parameter Not Specified</t>
  </si>
  <si>
    <t>February</t>
  </si>
  <si>
    <t>December</t>
  </si>
  <si>
    <t>August</t>
  </si>
  <si>
    <t>April</t>
  </si>
  <si>
    <t>September</t>
  </si>
  <si>
    <t>Feed Line To R-101</t>
  </si>
  <si>
    <t>Blockage In Line</t>
  </si>
  <si>
    <t>Overpressure Of Vessel</t>
  </si>
  <si>
    <t>Emergency Shutdown (Esd)</t>
  </si>
  <si>
    <t>Upgrade Instrumentation</t>
  </si>
  <si>
    <t>Ph</t>
  </si>
  <si>
    <t>More Ph</t>
  </si>
  <si>
    <t>Control Loop Failure</t>
  </si>
  <si>
    <t>Fire Hazard</t>
  </si>
  <si>
    <t>High Level Alarm</t>
  </si>
  <si>
    <t>No Action Required</t>
  </si>
  <si>
    <t>Pump Failure</t>
  </si>
  <si>
    <t>Loss Of Containment</t>
  </si>
  <si>
    <t>Operator Training</t>
  </si>
  <si>
    <t>Not Specified</t>
  </si>
  <si>
    <t>Wrong Valve Alignment</t>
  </si>
  <si>
    <t>Vessel Overflow</t>
  </si>
  <si>
    <t>Prv</t>
  </si>
  <si>
    <t>Add High-Level Alarm</t>
  </si>
  <si>
    <t>Valve Closed Inadvertently</t>
  </si>
  <si>
    <t>Runaway Reaction</t>
  </si>
  <si>
    <t>Install Additional Prv</t>
  </si>
  <si>
    <t>Regular Maintenance</t>
  </si>
  <si>
    <t>Toxic Release</t>
  </si>
  <si>
    <t>Heat Exchanger E401</t>
  </si>
  <si>
    <t>Utility Failure</t>
  </si>
  <si>
    <t>Explosion Risk</t>
  </si>
  <si>
    <t>Pressure Relief Valve</t>
  </si>
  <si>
    <t>Instrument Malfunction</t>
  </si>
  <si>
    <t>Redundant Instrumentation</t>
  </si>
  <si>
    <t>Operator Error</t>
  </si>
  <si>
    <t>No Temperature</t>
  </si>
  <si>
    <t>Power Failure</t>
  </si>
  <si>
    <t>High Temperature Excursion</t>
  </si>
  <si>
    <t>Interlock System</t>
  </si>
  <si>
    <t>More Level</t>
  </si>
  <si>
    <t>Excessive Feed Rate</t>
  </si>
  <si>
    <t>Conduct Refresher Training</t>
  </si>
  <si>
    <t>Product Off-Spec</t>
  </si>
  <si>
    <t>Consequence Not Recorded</t>
  </si>
  <si>
    <t>Other Than Ph</t>
  </si>
  <si>
    <t>Safeguard Not Documented</t>
  </si>
  <si>
    <t>Cooling Water Loss</t>
  </si>
  <si>
    <t>No Pressure</t>
  </si>
  <si>
    <t>Not Documented</t>
  </si>
  <si>
    <t>Corrosion Of Pipeline</t>
  </si>
  <si>
    <t>Early Temperature</t>
  </si>
  <si>
    <t>Review Sop</t>
  </si>
  <si>
    <t>Unknown Deviation</t>
  </si>
  <si>
    <t>Equipment Damage</t>
  </si>
  <si>
    <t>Environmental Release</t>
  </si>
  <si>
    <t>Less Ph</t>
  </si>
  <si>
    <t>As Well As Ph</t>
  </si>
  <si>
    <t>Status Not Documented</t>
  </si>
  <si>
    <t>Reverse Temperature</t>
  </si>
  <si>
    <t>No Ph</t>
  </si>
  <si>
    <t>Reverse Ph</t>
  </si>
  <si>
    <t>Late Ph</t>
  </si>
  <si>
    <t>Part Of Ph</t>
  </si>
  <si>
    <t>Early Ph</t>
  </si>
  <si>
    <t>RISK &amp; VOLUME KPI</t>
  </si>
  <si>
    <t>No.</t>
  </si>
  <si>
    <t>KPI</t>
  </si>
  <si>
    <t>Chart</t>
  </si>
  <si>
    <t>Total Deviations Analyzed</t>
  </si>
  <si>
    <t>Number card</t>
  </si>
  <si>
    <t>Total Actionable Recommendations</t>
  </si>
  <si>
    <t>Average Risk Rating</t>
  </si>
  <si>
    <t>Risk Rating by Node</t>
  </si>
  <si>
    <t>Bar chart</t>
  </si>
  <si>
    <t>Top 10 Causes by Frequency</t>
  </si>
  <si>
    <t>Status Breakdown (Open/In Progress/Closed)</t>
  </si>
  <si>
    <t>Pie/donut</t>
  </si>
  <si>
    <t>Risk Rating by Responsible Team</t>
  </si>
  <si>
    <t>Risk Category Split (High/Med/Low)</t>
  </si>
  <si>
    <t>Deviations Trend by Month</t>
  </si>
  <si>
    <t>Line chart</t>
  </si>
  <si>
    <t>Average Risk Rating Trend by Month</t>
  </si>
  <si>
    <t>Node &amp; Cause Performance</t>
  </si>
  <si>
    <t>Responsible Team &amp; Status</t>
  </si>
  <si>
    <t>Status Breakdown</t>
  </si>
  <si>
    <t>Risk Category Impact</t>
  </si>
  <si>
    <t>Risk Category Split</t>
  </si>
  <si>
    <t>Time Trends</t>
  </si>
  <si>
    <t>Dashboard Elements</t>
  </si>
  <si>
    <t>Supportive Pivot Table</t>
  </si>
  <si>
    <t>no. of blank</t>
  </si>
  <si>
    <t>Number Of column</t>
  </si>
  <si>
    <t>Number Of Row</t>
  </si>
  <si>
    <t>Count of HAZOP_ID</t>
  </si>
  <si>
    <t>Row Labels</t>
  </si>
  <si>
    <t>Grand Total</t>
  </si>
  <si>
    <t>Sum of Risk Rating</t>
  </si>
  <si>
    <t>Average of Risk Rating</t>
  </si>
  <si>
    <t>Column Labels</t>
  </si>
  <si>
    <t>Risk Category Split (High-5/Med-3/Low-1,2,4)</t>
  </si>
  <si>
    <t>(blank)</t>
  </si>
  <si>
    <t>HAZOP Risk Analysis Dashboard</t>
  </si>
  <si>
    <t xml:space="preserve">MAX DATE </t>
  </si>
  <si>
    <t xml:space="preserve">Total Status Action </t>
  </si>
  <si>
    <t>Cumulative STATUS ACTION by Month Between Status .</t>
  </si>
  <si>
    <t>Area Chart</t>
  </si>
  <si>
    <t>Total Status Count</t>
  </si>
  <si>
    <t>Cumulative Status Action  by Month Between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</si>
</sst>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sz val="8"/>
      <name val="Calibri"/>
      <family val="2"/>
      <scheme val="minor"/>
    </font>
    <font>
      <b/>
      <sz val="12"/>
      <color theme="1"/>
      <name val="Calibri"/>
      <family val="2"/>
      <scheme val="minor"/>
    </font>
    <font>
      <b/>
      <sz val="14"/>
      <color theme="1"/>
      <name val="Calibri"/>
      <family val="2"/>
      <scheme val="minor"/>
    </font>
    <font>
      <b/>
      <sz val="16"/>
      <color theme="1"/>
      <name val="Calibri"/>
      <family val="2"/>
      <scheme val="minor"/>
    </font>
    <font>
      <sz val="12"/>
      <color theme="1"/>
      <name val="Calibri"/>
      <family val="2"/>
      <scheme val="minor"/>
    </font>
    <font>
      <b/>
      <sz val="20"/>
      <color theme="0"/>
      <name val="Calibri"/>
      <family val="2"/>
      <scheme val="minor"/>
    </font>
    <font>
      <b/>
      <sz val="24"/>
      <color theme="1"/>
      <name val="Calibri"/>
      <family val="2"/>
      <scheme val="minor"/>
    </font>
    <font>
      <b/>
      <sz val="36"/>
      <color theme="0"/>
      <name val="Calibri"/>
      <family val="2"/>
      <scheme val="minor"/>
    </font>
    <font>
      <sz val="10"/>
      <color theme="1"/>
      <name val="Calibri"/>
      <family val="2"/>
      <scheme val="minor"/>
    </font>
  </fonts>
  <fills count="5">
    <fill>
      <patternFill patternType="none"/>
    </fill>
    <fill>
      <patternFill patternType="gray125"/>
    </fill>
    <fill>
      <patternFill patternType="solid">
        <fgColor rgb="FF1F3864"/>
        <bgColor indexed="64"/>
      </patternFill>
    </fill>
    <fill>
      <patternFill patternType="solid">
        <fgColor rgb="FFFFFF00"/>
        <bgColor indexed="64"/>
      </patternFill>
    </fill>
    <fill>
      <patternFill patternType="solid">
        <fgColor theme="0"/>
        <bgColor indexed="64"/>
      </patternFill>
    </fill>
  </fills>
  <borders count="14">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54">
    <xf numFmtId="0" fontId="0" fillId="0" borderId="0" xfId="0"/>
    <xf numFmtId="14" fontId="0" fillId="0" borderId="0" xfId="0" applyNumberFormat="1"/>
    <xf numFmtId="0" fontId="0" fillId="0" borderId="0" xfId="0" applyAlignment="1">
      <alignment horizontal="center" vertical="center"/>
    </xf>
    <xf numFmtId="0" fontId="3" fillId="0" borderId="4" xfId="0" applyFont="1" applyBorder="1" applyAlignment="1">
      <alignment horizontal="center" vertical="center" wrapText="1"/>
    </xf>
    <xf numFmtId="0" fontId="3" fillId="0" borderId="0" xfId="0" applyFont="1" applyAlignment="1">
      <alignment horizontal="center" vertical="center" wrapText="1"/>
    </xf>
    <xf numFmtId="0" fontId="3" fillId="0" borderId="5" xfId="0" applyFont="1" applyBorder="1" applyAlignment="1">
      <alignment horizontal="center" vertical="center" wrapText="1"/>
    </xf>
    <xf numFmtId="0" fontId="6" fillId="0" borderId="4" xfId="0" applyFont="1" applyBorder="1" applyAlignment="1">
      <alignment horizontal="center" vertical="center" wrapText="1"/>
    </xf>
    <xf numFmtId="0" fontId="6" fillId="0" borderId="0" xfId="0" applyFont="1" applyAlignment="1">
      <alignment vertical="center" wrapText="1"/>
    </xf>
    <xf numFmtId="0" fontId="6" fillId="0" borderId="5" xfId="0" applyFont="1" applyBorder="1" applyAlignment="1">
      <alignment vertical="center" wrapText="1"/>
    </xf>
    <xf numFmtId="0" fontId="6" fillId="0" borderId="6" xfId="0" applyFont="1" applyBorder="1" applyAlignment="1">
      <alignment horizontal="center" vertical="center" wrapText="1"/>
    </xf>
    <xf numFmtId="0" fontId="6" fillId="0" borderId="7" xfId="0" applyFont="1" applyBorder="1" applyAlignment="1">
      <alignment vertical="center" wrapText="1"/>
    </xf>
    <xf numFmtId="0" fontId="6" fillId="0" borderId="8" xfId="0" applyFont="1" applyBorder="1" applyAlignment="1">
      <alignment vertical="center" wrapText="1"/>
    </xf>
    <xf numFmtId="0" fontId="6" fillId="0" borderId="0" xfId="0" applyFont="1" applyAlignment="1">
      <alignment horizontal="center" vertical="center" wrapText="1"/>
    </xf>
    <xf numFmtId="0" fontId="6" fillId="0" borderId="7" xfId="0" applyFont="1" applyBorder="1" applyAlignment="1">
      <alignment horizontal="center" vertical="center" wrapText="1"/>
    </xf>
    <xf numFmtId="0" fontId="6" fillId="0" borderId="8" xfId="0" applyFont="1" applyBorder="1" applyAlignment="1">
      <alignment horizontal="center" vertical="center" wrapText="1"/>
    </xf>
    <xf numFmtId="0" fontId="6" fillId="0" borderId="10" xfId="0" applyFont="1" applyBorder="1" applyAlignment="1">
      <alignment horizontal="left" vertical="top" wrapText="1"/>
    </xf>
    <xf numFmtId="0" fontId="6" fillId="0" borderId="11" xfId="0" applyFont="1" applyBorder="1" applyAlignment="1">
      <alignment horizontal="left" vertical="top" wrapText="1"/>
    </xf>
    <xf numFmtId="0" fontId="6" fillId="0" borderId="0" xfId="0" applyFont="1"/>
    <xf numFmtId="0" fontId="4" fillId="0" borderId="1" xfId="0" applyFont="1" applyBorder="1"/>
    <xf numFmtId="0" fontId="4" fillId="0" borderId="3" xfId="0" applyFont="1" applyBorder="1"/>
    <xf numFmtId="0" fontId="4" fillId="0" borderId="4" xfId="0" applyFont="1" applyBorder="1"/>
    <xf numFmtId="0" fontId="4" fillId="0" borderId="5" xfId="0" applyFont="1" applyBorder="1"/>
    <xf numFmtId="0" fontId="4" fillId="0" borderId="6" xfId="0" applyFont="1" applyBorder="1"/>
    <xf numFmtId="0" fontId="4" fillId="0" borderId="8" xfId="0" applyFont="1" applyBorder="1"/>
    <xf numFmtId="0" fontId="1" fillId="0" borderId="1" xfId="0" applyFont="1" applyBorder="1"/>
    <xf numFmtId="0" fontId="1" fillId="0" borderId="2" xfId="0" applyFont="1" applyBorder="1"/>
    <xf numFmtId="0" fontId="1" fillId="0" borderId="3" xfId="0" applyFont="1" applyBorder="1"/>
    <xf numFmtId="0" fontId="1" fillId="0" borderId="6" xfId="0" applyFont="1" applyBorder="1"/>
    <xf numFmtId="0" fontId="1" fillId="0" borderId="7" xfId="0" applyFont="1" applyBorder="1"/>
    <xf numFmtId="0" fontId="1" fillId="0" borderId="8" xfId="0" applyFont="1" applyBorder="1"/>
    <xf numFmtId="0" fontId="6" fillId="0" borderId="0" xfId="0" pivotButton="1" applyFont="1"/>
    <xf numFmtId="0" fontId="6" fillId="0" borderId="0" xfId="0" applyFont="1" applyAlignment="1">
      <alignment horizontal="left"/>
    </xf>
    <xf numFmtId="0" fontId="0" fillId="0" borderId="0" xfId="0" pivotButton="1"/>
    <xf numFmtId="0" fontId="0" fillId="0" borderId="0" xfId="0" applyAlignment="1">
      <alignment horizontal="left"/>
    </xf>
    <xf numFmtId="0" fontId="0" fillId="3" borderId="0" xfId="0" applyFill="1"/>
    <xf numFmtId="0" fontId="1" fillId="0" borderId="0" xfId="0" applyFont="1"/>
    <xf numFmtId="0" fontId="10" fillId="0" borderId="0" xfId="0" applyFont="1"/>
    <xf numFmtId="0" fontId="0" fillId="4" borderId="0" xfId="0" applyFill="1"/>
    <xf numFmtId="2" fontId="6" fillId="0" borderId="0" xfId="0" applyNumberFormat="1" applyFont="1"/>
    <xf numFmtId="0" fontId="3" fillId="0" borderId="12" xfId="0" applyFont="1" applyBorder="1"/>
    <xf numFmtId="14" fontId="3" fillId="0" borderId="13" xfId="0" applyNumberFormat="1" applyFont="1" applyBorder="1"/>
    <xf numFmtId="0" fontId="9" fillId="2" borderId="0" xfId="0" applyFont="1" applyFill="1" applyAlignment="1">
      <alignment horizontal="center"/>
    </xf>
    <xf numFmtId="0" fontId="0" fillId="2" borderId="0" xfId="0" applyFill="1" applyAlignment="1">
      <alignment horizontal="center"/>
    </xf>
    <xf numFmtId="0" fontId="5" fillId="0" borderId="0" xfId="0" applyFont="1" applyAlignment="1">
      <alignment horizontal="center" vertical="center"/>
    </xf>
    <xf numFmtId="0" fontId="1" fillId="0" borderId="0" xfId="0" applyFont="1" applyAlignment="1">
      <alignment horizontal="center" vertical="center"/>
    </xf>
    <xf numFmtId="0" fontId="5"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7" fillId="2" borderId="9" xfId="0" applyFont="1" applyFill="1" applyBorder="1" applyAlignment="1">
      <alignment horizontal="center" vertical="center"/>
    </xf>
    <xf numFmtId="0" fontId="7" fillId="2" borderId="10" xfId="0" applyFont="1" applyFill="1" applyBorder="1" applyAlignment="1">
      <alignment horizontal="center" vertical="center"/>
    </xf>
    <xf numFmtId="0" fontId="8" fillId="0" borderId="0" xfId="0" applyFont="1" applyAlignment="1">
      <alignment horizontal="center" vertical="center"/>
    </xf>
    <xf numFmtId="0" fontId="8" fillId="0" borderId="7" xfId="0" applyFont="1" applyBorder="1" applyAlignment="1">
      <alignment horizontal="center" vertical="center"/>
    </xf>
  </cellXfs>
  <cellStyles count="1">
    <cellStyle name="Normal" xfId="0" builtinId="0"/>
  </cellStyles>
  <dxfs count="59">
    <dxf>
      <numFmt numFmtId="19" formatCode="dd/mm/yyyy"/>
    </dxf>
    <dxf>
      <fill>
        <patternFill>
          <bgColor rgb="FFFFC7CE"/>
        </patternFill>
      </fill>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2" formatCode="0.00"/>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1F3864"/>
      <color rgb="FF548235"/>
      <color rgb="FFC00000"/>
      <color rgb="FF2E5C9A"/>
      <color rgb="FFB4C7E7"/>
      <color rgb="FF8FAADC"/>
      <color rgb="FFED7D31"/>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11/relationships/timelineCache" Target="timelineCaches/timelineCache1.xml"/><Relationship Id="rId18"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connections" Target="connections.xml"/><Relationship Id="rId10" Type="http://schemas.microsoft.com/office/2007/relationships/slicerCache" Target="slicerCaches/slicerCache4.xml"/><Relationship Id="rId19" Type="http://schemas.openxmlformats.org/officeDocument/2006/relationships/customXml" Target="../customXml/item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[02_Hazop_Risk_Analysis_Dahboard.xlsx]Supportive_Pivot_table!pvt5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mn-lt"/>
              </a:rPr>
              <a:t>Risk</a:t>
            </a:r>
            <a:r>
              <a:rPr lang="en-US" sz="1600" b="1" baseline="0"/>
              <a:t> Rating By Node</a:t>
            </a:r>
            <a:endParaRPr lang="en-US" sz="1600" b="1"/>
          </a:p>
        </c:rich>
      </c:tx>
      <c:layout>
        <c:manualLayout>
          <c:xMode val="edge"/>
          <c:yMode val="edge"/>
          <c:x val="0.23159388620000484"/>
          <c:y val="3.04878048780487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2E5C9A"/>
          </a:solidFill>
          <a:ln>
            <a:noFill/>
          </a:ln>
          <a:effectLst/>
        </c:spPr>
        <c:marker>
          <c:symbol val="none"/>
        </c:marker>
        <c:dLbl>
          <c:idx val="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E5C9A"/>
          </a:solidFill>
          <a:ln>
            <a:noFill/>
          </a:ln>
          <a:effectLst/>
        </c:spPr>
        <c:marker>
          <c:symbol val="none"/>
        </c:marker>
        <c:dLbl>
          <c:idx val="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E5C9A"/>
          </a:solidFill>
          <a:ln>
            <a:noFill/>
          </a:ln>
          <a:effectLst/>
        </c:spPr>
        <c:marker>
          <c:symbol val="none"/>
        </c:marker>
        <c:dLbl>
          <c:idx val="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Supportive_Pivot_table!$C$24</c:f>
              <c:strCache>
                <c:ptCount val="1"/>
                <c:pt idx="0">
                  <c:v>Total</c:v>
                </c:pt>
              </c:strCache>
            </c:strRef>
          </c:tx>
          <c:spPr>
            <a:solidFill>
              <a:srgbClr val="2E5C9A"/>
            </a:solidFill>
            <a:ln>
              <a:noFill/>
            </a:ln>
            <a:effectLst/>
          </c:spPr>
          <c:invertIfNegative val="0"/>
          <c:dLbls>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Supportive_Pivot_table!$B$25:$B$39</c:f>
              <c:strCache>
                <c:ptCount val="14"/>
                <c:pt idx="0">
                  <c:v>Boiler B-801</c:v>
                </c:pt>
                <c:pt idx="1">
                  <c:v>Compressor K-601</c:v>
                </c:pt>
                <c:pt idx="2">
                  <c:v>Cooling Water Loop</c:v>
                </c:pt>
                <c:pt idx="3">
                  <c:v>Distillation Column C-301</c:v>
                </c:pt>
                <c:pt idx="4">
                  <c:v>Feed Line To R-101</c:v>
                </c:pt>
                <c:pt idx="5">
                  <c:v>Heat Exchanger E401</c:v>
                </c:pt>
                <c:pt idx="6">
                  <c:v>Heat Exchanger E-401</c:v>
                </c:pt>
                <c:pt idx="7">
                  <c:v>Node Not Specified</c:v>
                </c:pt>
                <c:pt idx="8">
                  <c:v>Pump P-501</c:v>
                </c:pt>
                <c:pt idx="9">
                  <c:v>Reactor R101</c:v>
                </c:pt>
                <c:pt idx="10">
                  <c:v>Reactor R-101</c:v>
                </c:pt>
                <c:pt idx="11">
                  <c:v>Separator V701</c:v>
                </c:pt>
                <c:pt idx="12">
                  <c:v>Separator V-701</c:v>
                </c:pt>
                <c:pt idx="13">
                  <c:v>Storage Tank T-201</c:v>
                </c:pt>
              </c:strCache>
            </c:strRef>
          </c:cat>
          <c:val>
            <c:numRef>
              <c:f>Supportive_Pivot_table!$C$25:$C$39</c:f>
              <c:numCache>
                <c:formatCode>General</c:formatCode>
                <c:ptCount val="14"/>
                <c:pt idx="0">
                  <c:v>83</c:v>
                </c:pt>
                <c:pt idx="1">
                  <c:v>23</c:v>
                </c:pt>
                <c:pt idx="2">
                  <c:v>110</c:v>
                </c:pt>
                <c:pt idx="3">
                  <c:v>161</c:v>
                </c:pt>
                <c:pt idx="4">
                  <c:v>147</c:v>
                </c:pt>
                <c:pt idx="5">
                  <c:v>83</c:v>
                </c:pt>
                <c:pt idx="6">
                  <c:v>109</c:v>
                </c:pt>
                <c:pt idx="7">
                  <c:v>39</c:v>
                </c:pt>
                <c:pt idx="8">
                  <c:v>111</c:v>
                </c:pt>
                <c:pt idx="9">
                  <c:v>59</c:v>
                </c:pt>
                <c:pt idx="10">
                  <c:v>98</c:v>
                </c:pt>
                <c:pt idx="11">
                  <c:v>73</c:v>
                </c:pt>
                <c:pt idx="12">
                  <c:v>40</c:v>
                </c:pt>
                <c:pt idx="13">
                  <c:v>160</c:v>
                </c:pt>
              </c:numCache>
            </c:numRef>
          </c:val>
          <c:extLst>
            <c:ext xmlns:c16="http://schemas.microsoft.com/office/drawing/2014/chart" uri="{C3380CC4-5D6E-409C-BE32-E72D297353CC}">
              <c16:uniqueId val="{00000000-9B9A-4E98-9C9E-D9203667C8BA}"/>
            </c:ext>
          </c:extLst>
        </c:ser>
        <c:dLbls>
          <c:dLblPos val="outEnd"/>
          <c:showLegendKey val="0"/>
          <c:showVal val="1"/>
          <c:showCatName val="0"/>
          <c:showSerName val="0"/>
          <c:showPercent val="0"/>
          <c:showBubbleSize val="0"/>
        </c:dLbls>
        <c:gapWidth val="50"/>
        <c:axId val="224498751"/>
        <c:axId val="925221391"/>
      </c:barChart>
      <c:catAx>
        <c:axId val="2244987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bg2">
                    <a:lumMod val="50000"/>
                  </a:schemeClr>
                </a:solidFill>
                <a:latin typeface="+mn-lt"/>
                <a:ea typeface="+mn-ea"/>
                <a:cs typeface="+mn-cs"/>
              </a:defRPr>
            </a:pPr>
            <a:endParaRPr lang="en-US"/>
          </a:p>
        </c:txPr>
        <c:crossAx val="925221391"/>
        <c:crosses val="autoZero"/>
        <c:auto val="1"/>
        <c:lblAlgn val="ctr"/>
        <c:lblOffset val="100"/>
        <c:noMultiLvlLbl val="0"/>
      </c:catAx>
      <c:valAx>
        <c:axId val="925221391"/>
        <c:scaling>
          <c:orientation val="minMax"/>
        </c:scaling>
        <c:delete val="1"/>
        <c:axPos val="b"/>
        <c:numFmt formatCode="General" sourceLinked="1"/>
        <c:majorTickMark val="none"/>
        <c:minorTickMark val="none"/>
        <c:tickLblPos val="nextTo"/>
        <c:crossAx val="224498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[02_Hazop_Risk_Analysis_Dahboard.xlsx]Supportive_Pivot_table!pvt6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Top</a:t>
            </a:r>
            <a:r>
              <a:rPr lang="en-US" sz="1600" b="1" baseline="0"/>
              <a:t> 10 Cause By Frequency</a:t>
            </a:r>
          </a:p>
        </c:rich>
      </c:tx>
      <c:layout>
        <c:manualLayout>
          <c:xMode val="edge"/>
          <c:yMode val="edge"/>
          <c:x val="0.35026477426158431"/>
          <c:y val="2.7777754809604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2E5C9A"/>
          </a:solidFill>
          <a:ln>
            <a:noFill/>
          </a:ln>
          <a:effectLst/>
        </c:spPr>
        <c:marker>
          <c:symbol val="none"/>
        </c:marker>
        <c:dLbl>
          <c:idx val="0"/>
          <c:spPr>
            <a:solidFill>
              <a:schemeClr val="bg1">
                <a:alpha val="89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E5C9A"/>
          </a:solidFill>
          <a:ln>
            <a:noFill/>
          </a:ln>
          <a:effectLst/>
        </c:spPr>
        <c:marker>
          <c:symbol val="none"/>
        </c:marker>
        <c:dLbl>
          <c:idx val="0"/>
          <c:spPr>
            <a:solidFill>
              <a:schemeClr val="bg1">
                <a:alpha val="89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E5C9A"/>
          </a:solidFill>
          <a:ln>
            <a:noFill/>
          </a:ln>
          <a:effectLst/>
        </c:spPr>
        <c:marker>
          <c:symbol val="none"/>
        </c:marker>
        <c:dLbl>
          <c:idx val="0"/>
          <c:spPr>
            <a:solidFill>
              <a:schemeClr val="bg1">
                <a:alpha val="89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515799350801896"/>
          <c:y val="0.20588546580420258"/>
          <c:w val="0.62164151791782996"/>
          <c:h val="0.73682291666666666"/>
        </c:manualLayout>
      </c:layout>
      <c:barChart>
        <c:barDir val="bar"/>
        <c:grouping val="clustered"/>
        <c:varyColors val="0"/>
        <c:ser>
          <c:idx val="0"/>
          <c:order val="0"/>
          <c:tx>
            <c:strRef>
              <c:f>Supportive_Pivot_table!$F$24</c:f>
              <c:strCache>
                <c:ptCount val="1"/>
                <c:pt idx="0">
                  <c:v>Total</c:v>
                </c:pt>
              </c:strCache>
            </c:strRef>
          </c:tx>
          <c:spPr>
            <a:solidFill>
              <a:srgbClr val="2E5C9A"/>
            </a:solidFill>
            <a:ln>
              <a:noFill/>
            </a:ln>
            <a:effectLst/>
          </c:spPr>
          <c:invertIfNegative val="0"/>
          <c:dLbls>
            <c:spPr>
              <a:solidFill>
                <a:schemeClr val="bg1">
                  <a:alpha val="89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Supportive_Pivot_table!$E$25:$E$38</c:f>
              <c:strCache>
                <c:ptCount val="13"/>
                <c:pt idx="0">
                  <c:v>Blockage In Line</c:v>
                </c:pt>
                <c:pt idx="1">
                  <c:v>Control Loop Failure</c:v>
                </c:pt>
                <c:pt idx="2">
                  <c:v>Cooling Water Loss</c:v>
                </c:pt>
                <c:pt idx="3">
                  <c:v>Corrosion Of Pipeline</c:v>
                </c:pt>
                <c:pt idx="4">
                  <c:v>Excessive Feed Rate</c:v>
                </c:pt>
                <c:pt idx="5">
                  <c:v>Instrument Malfunction</c:v>
                </c:pt>
                <c:pt idx="6">
                  <c:v>Not Specified</c:v>
                </c:pt>
                <c:pt idx="7">
                  <c:v>Operator Error</c:v>
                </c:pt>
                <c:pt idx="8">
                  <c:v>Power Failure</c:v>
                </c:pt>
                <c:pt idx="9">
                  <c:v>Pump Failure</c:v>
                </c:pt>
                <c:pt idx="10">
                  <c:v>Utility Failure</c:v>
                </c:pt>
                <c:pt idx="11">
                  <c:v>Valve Closed Inadvertently</c:v>
                </c:pt>
                <c:pt idx="12">
                  <c:v>Wrong Valve Alignment</c:v>
                </c:pt>
              </c:strCache>
            </c:strRef>
          </c:cat>
          <c:val>
            <c:numRef>
              <c:f>Supportive_Pivot_table!$F$25:$F$38</c:f>
              <c:numCache>
                <c:formatCode>General</c:formatCode>
                <c:ptCount val="13"/>
                <c:pt idx="0">
                  <c:v>14</c:v>
                </c:pt>
                <c:pt idx="1">
                  <c:v>9</c:v>
                </c:pt>
                <c:pt idx="2">
                  <c:v>9</c:v>
                </c:pt>
                <c:pt idx="3">
                  <c:v>14</c:v>
                </c:pt>
                <c:pt idx="4">
                  <c:v>9</c:v>
                </c:pt>
                <c:pt idx="5">
                  <c:v>7</c:v>
                </c:pt>
                <c:pt idx="6">
                  <c:v>14</c:v>
                </c:pt>
                <c:pt idx="7">
                  <c:v>21</c:v>
                </c:pt>
                <c:pt idx="8">
                  <c:v>7</c:v>
                </c:pt>
                <c:pt idx="9">
                  <c:v>24</c:v>
                </c:pt>
                <c:pt idx="10">
                  <c:v>10</c:v>
                </c:pt>
                <c:pt idx="11">
                  <c:v>12</c:v>
                </c:pt>
                <c:pt idx="12">
                  <c:v>14</c:v>
                </c:pt>
              </c:numCache>
            </c:numRef>
          </c:val>
          <c:extLst>
            <c:ext xmlns:c16="http://schemas.microsoft.com/office/drawing/2014/chart" uri="{C3380CC4-5D6E-409C-BE32-E72D297353CC}">
              <c16:uniqueId val="{00000000-B1EB-4D11-8445-32F8B635A2CC}"/>
            </c:ext>
          </c:extLst>
        </c:ser>
        <c:dLbls>
          <c:dLblPos val="outEnd"/>
          <c:showLegendKey val="0"/>
          <c:showVal val="1"/>
          <c:showCatName val="0"/>
          <c:showSerName val="0"/>
          <c:showPercent val="0"/>
          <c:showBubbleSize val="0"/>
        </c:dLbls>
        <c:gapWidth val="50"/>
        <c:axId val="1052606336"/>
        <c:axId val="1089325968"/>
      </c:barChart>
      <c:catAx>
        <c:axId val="10526063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1089325968"/>
        <c:crosses val="autoZero"/>
        <c:auto val="1"/>
        <c:lblAlgn val="ctr"/>
        <c:lblOffset val="100"/>
        <c:noMultiLvlLbl val="0"/>
      </c:catAx>
      <c:valAx>
        <c:axId val="1089325968"/>
        <c:scaling>
          <c:orientation val="minMax"/>
        </c:scaling>
        <c:delete val="1"/>
        <c:axPos val="b"/>
        <c:numFmt formatCode="General" sourceLinked="1"/>
        <c:majorTickMark val="none"/>
        <c:minorTickMark val="none"/>
        <c:tickLblPos val="nextTo"/>
        <c:crossAx val="1052606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[02_Hazop_Risk_Analysis_Dahboard.xlsx]Supportive_Pivot_table!pvt7</c:name>
    <c:fmtId val="3"/>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400" b="1"/>
              <a:t>Status Breakdown (Open/In Progress/Closed)</a:t>
            </a:r>
          </a:p>
        </c:rich>
      </c:tx>
      <c:layout>
        <c:manualLayout>
          <c:xMode val="edge"/>
          <c:yMode val="edge"/>
          <c:x val="0.14217774139618686"/>
          <c:y val="2.6776147381403142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FF3300"/>
          </a:solidFill>
          <a:ln w="19050">
            <a:solidFill>
              <a:schemeClr val="lt1"/>
            </a:solidFill>
          </a:ln>
          <a:effectLst/>
        </c:spPr>
        <c:dLbl>
          <c:idx val="0"/>
          <c:layout>
            <c:manualLayout>
              <c:x val="0.15277777777777779"/>
              <c:y val="2.314814814814814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rgbClr val="548235"/>
          </a:solidFill>
          <a:ln w="19050">
            <a:solidFill>
              <a:schemeClr val="lt1"/>
            </a:solidFill>
          </a:ln>
          <a:effectLst/>
        </c:spPr>
        <c:dLbl>
          <c:idx val="0"/>
          <c:layout>
            <c:manualLayout>
              <c:x val="0.12777777777777777"/>
              <c:y val="-0.1157407407407407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4">
              <a:lumMod val="60000"/>
              <a:lumOff val="40000"/>
            </a:schemeClr>
          </a:solidFill>
          <a:ln w="19050">
            <a:solidFill>
              <a:schemeClr val="lt1"/>
            </a:solidFill>
          </a:ln>
          <a:effectLst/>
        </c:spPr>
        <c:dLbl>
          <c:idx val="0"/>
          <c:layout>
            <c:manualLayout>
              <c:x val="-3.6977087422895669E-2"/>
              <c:y val="-0.1663849466421487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933223972003498"/>
                  <c:h val="0.14956547098279382"/>
                </c:manualLayout>
              </c15:layout>
            </c:ext>
          </c:extLst>
        </c:dLbl>
      </c:pivotFmt>
      <c:pivotFmt>
        <c:idx val="4"/>
        <c:spPr>
          <a:solidFill>
            <a:srgbClr val="C00000"/>
          </a:solidFill>
          <a:ln w="19050">
            <a:solidFill>
              <a:schemeClr val="bg1"/>
            </a:solidFill>
          </a:ln>
          <a:effectLst/>
        </c:spPr>
        <c:dLbl>
          <c:idx val="0"/>
          <c:layout>
            <c:manualLayout>
              <c:x val="-0.13011860174781523"/>
              <c:y val="9.104938271604949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ED7D31"/>
          </a:solidFill>
          <a:ln w="19050">
            <a:solidFill>
              <a:schemeClr val="lt1"/>
            </a:solidFill>
          </a:ln>
          <a:effectLst/>
        </c:spPr>
        <c:dLbl>
          <c:idx val="0"/>
          <c:layout>
            <c:manualLayout>
              <c:x val="-0.15158676282192668"/>
              <c:y val="-0.1321873591558630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0885104205724284"/>
                  <c:h val="0.11210132824306053"/>
                </c:manualLayout>
              </c15:layout>
            </c:ext>
          </c:extLst>
        </c:dLbl>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548235"/>
          </a:solidFill>
          <a:ln w="19050">
            <a:solidFill>
              <a:schemeClr val="lt1"/>
            </a:solidFill>
          </a:ln>
          <a:effectLst/>
        </c:spPr>
        <c:dLbl>
          <c:idx val="0"/>
          <c:layout>
            <c:manualLayout>
              <c:x val="0.12777777777777777"/>
              <c:y val="-0.1157407407407407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FF3300"/>
          </a:solidFill>
          <a:ln w="19050">
            <a:solidFill>
              <a:schemeClr val="lt1"/>
            </a:solidFill>
          </a:ln>
          <a:effectLst/>
        </c:spPr>
        <c:dLbl>
          <c:idx val="0"/>
          <c:layout>
            <c:manualLayout>
              <c:x val="0.15277777777777779"/>
              <c:y val="2.314814814814814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C00000"/>
          </a:solidFill>
          <a:ln w="19050">
            <a:solidFill>
              <a:schemeClr val="bg1"/>
            </a:solidFill>
          </a:ln>
          <a:effectLst/>
        </c:spPr>
        <c:dLbl>
          <c:idx val="0"/>
          <c:layout>
            <c:manualLayout>
              <c:x val="-0.13011860174781523"/>
              <c:y val="9.104938271604949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rgbClr val="ED7D31"/>
          </a:solidFill>
          <a:ln w="19050">
            <a:solidFill>
              <a:schemeClr val="lt1"/>
            </a:solidFill>
          </a:ln>
          <a:effectLst/>
        </c:spPr>
        <c:dLbl>
          <c:idx val="0"/>
          <c:layout>
            <c:manualLayout>
              <c:x val="-0.15158676282192668"/>
              <c:y val="-0.1321873591558630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0885104205724284"/>
                  <c:h val="0.11210132824306053"/>
                </c:manualLayout>
              </c15:layout>
            </c:ext>
          </c:extLst>
        </c:dLbl>
      </c:pivotFmt>
      <c:pivotFmt>
        <c:idx val="11"/>
        <c:spPr>
          <a:solidFill>
            <a:schemeClr val="accent4">
              <a:lumMod val="60000"/>
              <a:lumOff val="40000"/>
            </a:schemeClr>
          </a:solidFill>
          <a:ln w="19050">
            <a:solidFill>
              <a:schemeClr val="lt1"/>
            </a:solidFill>
          </a:ln>
          <a:effectLst/>
        </c:spPr>
        <c:dLbl>
          <c:idx val="0"/>
          <c:layout>
            <c:manualLayout>
              <c:x val="-3.6977087422895669E-2"/>
              <c:y val="-0.1663849466421487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933223972003498"/>
                  <c:h val="0.14956547098279382"/>
                </c:manualLayout>
              </c15:layout>
            </c:ext>
          </c:extLst>
        </c:dLbl>
      </c:pivotFmt>
      <c:pivotFmt>
        <c:idx val="1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rgbClr val="548235"/>
          </a:solidFill>
          <a:ln w="19050">
            <a:solidFill>
              <a:schemeClr val="lt1"/>
            </a:solidFill>
          </a:ln>
          <a:effectLst/>
        </c:spPr>
        <c:dLbl>
          <c:idx val="0"/>
          <c:layout>
            <c:manualLayout>
              <c:x val="0.12777777777777777"/>
              <c:y val="-0.1157407407407407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rgbClr val="FF3300"/>
          </a:solidFill>
          <a:ln w="19050">
            <a:solidFill>
              <a:schemeClr val="lt1"/>
            </a:solidFill>
          </a:ln>
          <a:effectLst/>
        </c:spPr>
        <c:dLbl>
          <c:idx val="0"/>
          <c:layout>
            <c:manualLayout>
              <c:x val="0.15277777777777779"/>
              <c:y val="2.314814814814814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rgbClr val="C00000"/>
          </a:solidFill>
          <a:ln w="19050">
            <a:solidFill>
              <a:schemeClr val="bg1"/>
            </a:solidFill>
          </a:ln>
          <a:effectLst/>
        </c:spPr>
        <c:dLbl>
          <c:idx val="0"/>
          <c:layout>
            <c:manualLayout>
              <c:x val="-0.13011860174781523"/>
              <c:y val="9.104938271604949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rgbClr val="ED7D31"/>
          </a:solidFill>
          <a:ln w="19050">
            <a:solidFill>
              <a:schemeClr val="lt1"/>
            </a:solidFill>
          </a:ln>
          <a:effectLst/>
        </c:spPr>
        <c:dLbl>
          <c:idx val="0"/>
          <c:layout>
            <c:manualLayout>
              <c:x val="-0.15158676282192668"/>
              <c:y val="-0.1321873591558630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0885104205724284"/>
                  <c:h val="0.11210132824306053"/>
                </c:manualLayout>
              </c15:layout>
            </c:ext>
          </c:extLst>
        </c:dLbl>
      </c:pivotFmt>
      <c:pivotFmt>
        <c:idx val="17"/>
        <c:spPr>
          <a:solidFill>
            <a:schemeClr val="accent4">
              <a:lumMod val="60000"/>
              <a:lumOff val="40000"/>
            </a:schemeClr>
          </a:solidFill>
          <a:ln w="19050">
            <a:solidFill>
              <a:schemeClr val="lt1"/>
            </a:solidFill>
          </a:ln>
          <a:effectLst/>
        </c:spPr>
        <c:dLbl>
          <c:idx val="0"/>
          <c:layout>
            <c:manualLayout>
              <c:x val="-3.6977087422895669E-2"/>
              <c:y val="-0.1663849466421487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933223972003498"/>
                  <c:h val="0.14956547098279382"/>
                </c:manualLayout>
              </c15:layout>
            </c:ext>
          </c:extLst>
        </c:dLbl>
      </c:pivotFmt>
    </c:pivotFmts>
    <c:plotArea>
      <c:layout>
        <c:manualLayout>
          <c:layoutTarget val="inner"/>
          <c:xMode val="edge"/>
          <c:yMode val="edge"/>
          <c:x val="0.33501848083596292"/>
          <c:y val="0.36925731505783999"/>
          <c:w val="0.28522811053112745"/>
          <c:h val="0.56411781860600763"/>
        </c:manualLayout>
      </c:layout>
      <c:doughnutChart>
        <c:varyColors val="1"/>
        <c:ser>
          <c:idx val="0"/>
          <c:order val="0"/>
          <c:tx>
            <c:strRef>
              <c:f>Supportive_Pivot_table!$C$41</c:f>
              <c:strCache>
                <c:ptCount val="1"/>
                <c:pt idx="0">
                  <c:v>Total</c:v>
                </c:pt>
              </c:strCache>
            </c:strRef>
          </c:tx>
          <c:dPt>
            <c:idx val="0"/>
            <c:bubble3D val="0"/>
            <c:spPr>
              <a:solidFill>
                <a:srgbClr val="548235"/>
              </a:solidFill>
              <a:ln w="19050">
                <a:solidFill>
                  <a:schemeClr val="lt1"/>
                </a:solidFill>
              </a:ln>
              <a:effectLst/>
            </c:spPr>
            <c:extLst>
              <c:ext xmlns:c16="http://schemas.microsoft.com/office/drawing/2014/chart" uri="{C3380CC4-5D6E-409C-BE32-E72D297353CC}">
                <c16:uniqueId val="{00000001-2625-4F6C-8E1D-E6A87B5F850A}"/>
              </c:ext>
            </c:extLst>
          </c:dPt>
          <c:dPt>
            <c:idx val="1"/>
            <c:bubble3D val="0"/>
            <c:spPr>
              <a:solidFill>
                <a:srgbClr val="FF3300"/>
              </a:solidFill>
              <a:ln w="19050">
                <a:solidFill>
                  <a:schemeClr val="lt1"/>
                </a:solidFill>
              </a:ln>
              <a:effectLst/>
            </c:spPr>
            <c:extLst>
              <c:ext xmlns:c16="http://schemas.microsoft.com/office/drawing/2014/chart" uri="{C3380CC4-5D6E-409C-BE32-E72D297353CC}">
                <c16:uniqueId val="{00000003-2625-4F6C-8E1D-E6A87B5F850A}"/>
              </c:ext>
            </c:extLst>
          </c:dPt>
          <c:dPt>
            <c:idx val="2"/>
            <c:bubble3D val="0"/>
            <c:spPr>
              <a:solidFill>
                <a:srgbClr val="C00000"/>
              </a:solidFill>
              <a:ln w="19050">
                <a:solidFill>
                  <a:schemeClr val="bg1"/>
                </a:solidFill>
              </a:ln>
              <a:effectLst/>
            </c:spPr>
            <c:extLst>
              <c:ext xmlns:c16="http://schemas.microsoft.com/office/drawing/2014/chart" uri="{C3380CC4-5D6E-409C-BE32-E72D297353CC}">
                <c16:uniqueId val="{00000005-2625-4F6C-8E1D-E6A87B5F850A}"/>
              </c:ext>
            </c:extLst>
          </c:dPt>
          <c:dPt>
            <c:idx val="3"/>
            <c:bubble3D val="0"/>
            <c:spPr>
              <a:solidFill>
                <a:srgbClr val="ED7D31"/>
              </a:solidFill>
              <a:ln w="19050">
                <a:solidFill>
                  <a:schemeClr val="lt1"/>
                </a:solidFill>
              </a:ln>
              <a:effectLst/>
            </c:spPr>
            <c:extLst>
              <c:ext xmlns:c16="http://schemas.microsoft.com/office/drawing/2014/chart" uri="{C3380CC4-5D6E-409C-BE32-E72D297353CC}">
                <c16:uniqueId val="{00000007-2625-4F6C-8E1D-E6A87B5F850A}"/>
              </c:ext>
            </c:extLst>
          </c:dPt>
          <c:dPt>
            <c:idx val="4"/>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9-2625-4F6C-8E1D-E6A87B5F850A}"/>
              </c:ext>
            </c:extLst>
          </c:dPt>
          <c:dLbls>
            <c:dLbl>
              <c:idx val="0"/>
              <c:layout>
                <c:manualLayout>
                  <c:x val="0.12777777777777777"/>
                  <c:y val="-0.11574074074074074"/>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625-4F6C-8E1D-E6A87B5F850A}"/>
                </c:ext>
              </c:extLst>
            </c:dLbl>
            <c:dLbl>
              <c:idx val="1"/>
              <c:layout>
                <c:manualLayout>
                  <c:x val="0.15277777777777779"/>
                  <c:y val="2.3148148148148147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625-4F6C-8E1D-E6A87B5F850A}"/>
                </c:ext>
              </c:extLst>
            </c:dLbl>
            <c:dLbl>
              <c:idx val="2"/>
              <c:layout>
                <c:manualLayout>
                  <c:x val="-0.13011860174781523"/>
                  <c:y val="9.1049382716049496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625-4F6C-8E1D-E6A87B5F850A}"/>
                </c:ext>
              </c:extLst>
            </c:dLbl>
            <c:dLbl>
              <c:idx val="3"/>
              <c:layout>
                <c:manualLayout>
                  <c:x val="-0.15158676282192668"/>
                  <c:y val="-0.1321873591558630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0885104205724284"/>
                      <c:h val="0.11210132824306053"/>
                    </c:manualLayout>
                  </c15:layout>
                </c:ext>
                <c:ext xmlns:c16="http://schemas.microsoft.com/office/drawing/2014/chart" uri="{C3380CC4-5D6E-409C-BE32-E72D297353CC}">
                  <c16:uniqueId val="{00000007-2625-4F6C-8E1D-E6A87B5F850A}"/>
                </c:ext>
              </c:extLst>
            </c:dLbl>
            <c:dLbl>
              <c:idx val="4"/>
              <c:layout>
                <c:manualLayout>
                  <c:x val="-3.6977087422895669E-2"/>
                  <c:y val="-0.1663849466421487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933223972003498"/>
                      <c:h val="0.14956547098279382"/>
                    </c:manualLayout>
                  </c15:layout>
                </c:ext>
                <c:ext xmlns:c16="http://schemas.microsoft.com/office/drawing/2014/chart" uri="{C3380CC4-5D6E-409C-BE32-E72D297353CC}">
                  <c16:uniqueId val="{00000009-2625-4F6C-8E1D-E6A87B5F850A}"/>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Supportive_Pivot_table!$B$42:$B$47</c:f>
              <c:strCache>
                <c:ptCount val="5"/>
                <c:pt idx="0">
                  <c:v>Closed</c:v>
                </c:pt>
                <c:pt idx="1">
                  <c:v>In Progress</c:v>
                </c:pt>
                <c:pt idx="2">
                  <c:v>Open</c:v>
                </c:pt>
                <c:pt idx="3">
                  <c:v>Pending</c:v>
                </c:pt>
                <c:pt idx="4">
                  <c:v>Status Not Documented</c:v>
                </c:pt>
              </c:strCache>
            </c:strRef>
          </c:cat>
          <c:val>
            <c:numRef>
              <c:f>Supportive_Pivot_table!$C$42:$C$47</c:f>
              <c:numCache>
                <c:formatCode>General</c:formatCode>
                <c:ptCount val="5"/>
                <c:pt idx="0">
                  <c:v>41</c:v>
                </c:pt>
                <c:pt idx="1">
                  <c:v>53</c:v>
                </c:pt>
                <c:pt idx="2">
                  <c:v>29</c:v>
                </c:pt>
                <c:pt idx="3">
                  <c:v>23</c:v>
                </c:pt>
                <c:pt idx="4">
                  <c:v>18</c:v>
                </c:pt>
              </c:numCache>
            </c:numRef>
          </c:val>
          <c:extLst>
            <c:ext xmlns:c16="http://schemas.microsoft.com/office/drawing/2014/chart" uri="{C3380CC4-5D6E-409C-BE32-E72D297353CC}">
              <c16:uniqueId val="{0000000A-2625-4F6C-8E1D-E6A87B5F850A}"/>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[02_Hazop_Risk_Analysis_Dahboard.xlsx]Supportive_Pivot_table!pvt8</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Risk</a:t>
            </a:r>
            <a:r>
              <a:rPr lang="en-US" b="1" baseline="0"/>
              <a:t> Rating By Responsible Team</a:t>
            </a:r>
          </a:p>
          <a:p>
            <a:pPr>
              <a:defRPr b="1"/>
            </a:pPr>
            <a:endParaRPr lang="en-US" b="1"/>
          </a:p>
        </c:rich>
      </c:tx>
      <c:layout>
        <c:manualLayout>
          <c:xMode val="edge"/>
          <c:yMode val="edge"/>
          <c:x val="0.15676866549088772"/>
          <c:y val="3.01203121421902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2E5C9A"/>
          </a:solidFill>
          <a:ln w="19050">
            <a:solidFill>
              <a:schemeClr val="lt1"/>
            </a:solidFill>
          </a:ln>
          <a:effectLst/>
        </c:spPr>
        <c:dLbl>
          <c:idx val="0"/>
          <c:layout>
            <c:manualLayout>
              <c:x val="1.7543859649122806E-2"/>
              <c:y val="-0.1255020080321285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rgbClr val="B4C7E7"/>
          </a:solidFill>
          <a:ln w="19050">
            <a:solidFill>
              <a:schemeClr val="lt1"/>
            </a:solidFill>
          </a:ln>
          <a:effectLst/>
        </c:spPr>
        <c:dLbl>
          <c:idx val="0"/>
          <c:layout>
            <c:manualLayout>
              <c:x val="7.0175438596491224E-2"/>
              <c:y val="-7.530120481927711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1F3864"/>
          </a:solidFill>
          <a:ln w="19050">
            <a:solidFill>
              <a:schemeClr val="lt1"/>
            </a:solidFill>
          </a:ln>
          <a:effectLst/>
        </c:spPr>
        <c:dLbl>
          <c:idx val="0"/>
          <c:layout>
            <c:manualLayout>
              <c:x val="-0.10877192982456142"/>
              <c:y val="-0.1506024096385542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rgbClr val="8FAADC"/>
          </a:solidFill>
          <a:ln w="19050">
            <a:solidFill>
              <a:schemeClr val="lt1"/>
            </a:solidFill>
          </a:ln>
          <a:effectLst/>
        </c:spPr>
        <c:dLbl>
          <c:idx val="0"/>
          <c:layout>
            <c:manualLayout>
              <c:x val="-0.11228070175438598"/>
              <c:y val="-2.3008435677144567E-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2E5C9A"/>
          </a:solidFill>
          <a:ln w="19050">
            <a:solidFill>
              <a:schemeClr val="lt1"/>
            </a:solidFill>
          </a:ln>
          <a:effectLst/>
        </c:spPr>
        <c:dLbl>
          <c:idx val="0"/>
          <c:layout>
            <c:manualLayout>
              <c:x val="1.7543859649122806E-2"/>
              <c:y val="-0.1255020080321285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B4C7E7"/>
          </a:solidFill>
          <a:ln w="19050">
            <a:solidFill>
              <a:schemeClr val="lt1"/>
            </a:solidFill>
          </a:ln>
          <a:effectLst/>
        </c:spPr>
        <c:dLbl>
          <c:idx val="0"/>
          <c:layout>
            <c:manualLayout>
              <c:x val="7.0175438596491224E-2"/>
              <c:y val="-7.530120481927711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1F3864"/>
          </a:solidFill>
          <a:ln w="19050">
            <a:solidFill>
              <a:schemeClr val="lt1"/>
            </a:solidFill>
          </a:ln>
          <a:effectLst/>
        </c:spPr>
        <c:dLbl>
          <c:idx val="0"/>
          <c:layout>
            <c:manualLayout>
              <c:x val="-0.10877192982456142"/>
              <c:y val="-0.1506024096385542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8FAADC"/>
          </a:solidFill>
          <a:ln w="19050">
            <a:solidFill>
              <a:schemeClr val="lt1"/>
            </a:solidFill>
          </a:ln>
          <a:effectLst/>
        </c:spPr>
        <c:dLbl>
          <c:idx val="0"/>
          <c:layout>
            <c:manualLayout>
              <c:x val="-0.11228070175438598"/>
              <c:y val="-2.3008435677144567E-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rgbClr val="2E5C9A"/>
          </a:solidFill>
          <a:ln w="19050">
            <a:solidFill>
              <a:schemeClr val="lt1"/>
            </a:solidFill>
          </a:ln>
          <a:effectLst/>
        </c:spPr>
        <c:dLbl>
          <c:idx val="0"/>
          <c:layout>
            <c:manualLayout>
              <c:x val="1.7543859649122806E-2"/>
              <c:y val="-0.1255020080321285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rgbClr val="B4C7E7"/>
          </a:solidFill>
          <a:ln w="19050">
            <a:solidFill>
              <a:schemeClr val="lt1"/>
            </a:solidFill>
          </a:ln>
          <a:effectLst/>
        </c:spPr>
        <c:dLbl>
          <c:idx val="0"/>
          <c:layout>
            <c:manualLayout>
              <c:x val="7.0175438596491224E-2"/>
              <c:y val="-7.530120481927711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rgbClr val="1F3864"/>
          </a:solidFill>
          <a:ln w="19050">
            <a:solidFill>
              <a:schemeClr val="lt1"/>
            </a:solidFill>
          </a:ln>
          <a:effectLst/>
        </c:spPr>
        <c:dLbl>
          <c:idx val="0"/>
          <c:layout>
            <c:manualLayout>
              <c:x val="-0.10877192982456142"/>
              <c:y val="-0.1506024096385542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rgbClr val="8FAADC"/>
          </a:solidFill>
          <a:ln w="19050">
            <a:solidFill>
              <a:schemeClr val="lt1"/>
            </a:solidFill>
          </a:ln>
          <a:effectLst/>
        </c:spPr>
        <c:dLbl>
          <c:idx val="0"/>
          <c:layout>
            <c:manualLayout>
              <c:x val="-0.11228070175438598"/>
              <c:y val="-2.3008435677144567E-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Supportive_Pivot_table!$F$41</c:f>
              <c:strCache>
                <c:ptCount val="1"/>
                <c:pt idx="0">
                  <c:v>Total</c:v>
                </c:pt>
              </c:strCache>
            </c:strRef>
          </c:tx>
          <c:dPt>
            <c:idx val="0"/>
            <c:bubble3D val="0"/>
            <c:spPr>
              <a:solidFill>
                <a:srgbClr val="2E5C9A"/>
              </a:solidFill>
              <a:ln w="19050">
                <a:solidFill>
                  <a:schemeClr val="lt1"/>
                </a:solidFill>
              </a:ln>
              <a:effectLst/>
            </c:spPr>
            <c:extLst>
              <c:ext xmlns:c16="http://schemas.microsoft.com/office/drawing/2014/chart" uri="{C3380CC4-5D6E-409C-BE32-E72D297353CC}">
                <c16:uniqueId val="{00000001-8472-484F-AA86-81440C97F8D5}"/>
              </c:ext>
            </c:extLst>
          </c:dPt>
          <c:dPt>
            <c:idx val="1"/>
            <c:bubble3D val="0"/>
            <c:spPr>
              <a:solidFill>
                <a:srgbClr val="B4C7E7"/>
              </a:solidFill>
              <a:ln w="19050">
                <a:solidFill>
                  <a:schemeClr val="lt1"/>
                </a:solidFill>
              </a:ln>
              <a:effectLst/>
            </c:spPr>
            <c:extLst>
              <c:ext xmlns:c16="http://schemas.microsoft.com/office/drawing/2014/chart" uri="{C3380CC4-5D6E-409C-BE32-E72D297353CC}">
                <c16:uniqueId val="{00000003-8472-484F-AA86-81440C97F8D5}"/>
              </c:ext>
            </c:extLst>
          </c:dPt>
          <c:dPt>
            <c:idx val="2"/>
            <c:bubble3D val="0"/>
            <c:spPr>
              <a:solidFill>
                <a:srgbClr val="1F3864"/>
              </a:solidFill>
              <a:ln w="19050">
                <a:solidFill>
                  <a:schemeClr val="lt1"/>
                </a:solidFill>
              </a:ln>
              <a:effectLst/>
            </c:spPr>
            <c:extLst>
              <c:ext xmlns:c16="http://schemas.microsoft.com/office/drawing/2014/chart" uri="{C3380CC4-5D6E-409C-BE32-E72D297353CC}">
                <c16:uniqueId val="{00000005-8472-484F-AA86-81440C97F8D5}"/>
              </c:ext>
            </c:extLst>
          </c:dPt>
          <c:dPt>
            <c:idx val="3"/>
            <c:bubble3D val="0"/>
            <c:spPr>
              <a:solidFill>
                <a:srgbClr val="8FAADC"/>
              </a:solidFill>
              <a:ln w="19050">
                <a:solidFill>
                  <a:schemeClr val="lt1"/>
                </a:solidFill>
              </a:ln>
              <a:effectLst/>
            </c:spPr>
            <c:extLst>
              <c:ext xmlns:c16="http://schemas.microsoft.com/office/drawing/2014/chart" uri="{C3380CC4-5D6E-409C-BE32-E72D297353CC}">
                <c16:uniqueId val="{00000007-8472-484F-AA86-81440C97F8D5}"/>
              </c:ext>
            </c:extLst>
          </c:dPt>
          <c:dLbls>
            <c:dLbl>
              <c:idx val="0"/>
              <c:layout>
                <c:manualLayout>
                  <c:x val="1.7543859649122806E-2"/>
                  <c:y val="-0.12550200803212855"/>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472-484F-AA86-81440C97F8D5}"/>
                </c:ext>
              </c:extLst>
            </c:dLbl>
            <c:dLbl>
              <c:idx val="1"/>
              <c:layout>
                <c:manualLayout>
                  <c:x val="7.0175438596491224E-2"/>
                  <c:y val="-7.5301204819277115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472-484F-AA86-81440C97F8D5}"/>
                </c:ext>
              </c:extLst>
            </c:dLbl>
            <c:dLbl>
              <c:idx val="2"/>
              <c:layout>
                <c:manualLayout>
                  <c:x val="-0.10877192982456142"/>
                  <c:y val="-0.15060240963855423"/>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472-484F-AA86-81440C97F8D5}"/>
                </c:ext>
              </c:extLst>
            </c:dLbl>
            <c:dLbl>
              <c:idx val="3"/>
              <c:layout>
                <c:manualLayout>
                  <c:x val="-0.11228070175438598"/>
                  <c:y val="-2.3008435677144567E-17"/>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8472-484F-AA86-81440C97F8D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Supportive_Pivot_table!$E$42:$E$46</c:f>
              <c:strCache>
                <c:ptCount val="4"/>
                <c:pt idx="0">
                  <c:v>Maintenance</c:v>
                </c:pt>
                <c:pt idx="1">
                  <c:v>Not Documented</c:v>
                </c:pt>
                <c:pt idx="2">
                  <c:v>Operations</c:v>
                </c:pt>
                <c:pt idx="3">
                  <c:v>Process Safety</c:v>
                </c:pt>
              </c:strCache>
            </c:strRef>
          </c:cat>
          <c:val>
            <c:numRef>
              <c:f>Supportive_Pivot_table!$F$42:$F$46</c:f>
              <c:numCache>
                <c:formatCode>General</c:formatCode>
                <c:ptCount val="4"/>
                <c:pt idx="0">
                  <c:v>345</c:v>
                </c:pt>
                <c:pt idx="1">
                  <c:v>158</c:v>
                </c:pt>
                <c:pt idx="2">
                  <c:v>550</c:v>
                </c:pt>
                <c:pt idx="3">
                  <c:v>243</c:v>
                </c:pt>
              </c:numCache>
            </c:numRef>
          </c:val>
          <c:extLst>
            <c:ext xmlns:c16="http://schemas.microsoft.com/office/drawing/2014/chart" uri="{C3380CC4-5D6E-409C-BE32-E72D297353CC}">
              <c16:uniqueId val="{00000008-8472-484F-AA86-81440C97F8D5}"/>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[02_Hazop_Risk_Analysis_Dahboard.xlsx]Supportive_Pivot_table!pvt9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Risk Category Split (High-5/Med-3/Low-1,2,4)</a:t>
            </a:r>
          </a:p>
        </c:rich>
      </c:tx>
      <c:layout>
        <c:manualLayout>
          <c:xMode val="edge"/>
          <c:yMode val="edge"/>
          <c:x val="0.12877594846098783"/>
          <c:y val="1.59653033063042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Supportive_Pivot_table!$C$50</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899-42C5-8E26-091654371E8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899-42C5-8E26-091654371E84}"/>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8899-42C5-8E26-091654371E84}"/>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8899-42C5-8E26-091654371E84}"/>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8899-42C5-8E26-091654371E84}"/>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8899-42C5-8E26-091654371E8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Supportive_Pivot_table!$B$51:$B$57</c:f>
              <c:strCache>
                <c:ptCount val="6"/>
                <c:pt idx="0">
                  <c:v>1</c:v>
                </c:pt>
                <c:pt idx="1">
                  <c:v>2</c:v>
                </c:pt>
                <c:pt idx="2">
                  <c:v>3</c:v>
                </c:pt>
                <c:pt idx="3">
                  <c:v>4</c:v>
                </c:pt>
                <c:pt idx="4">
                  <c:v>5</c:v>
                </c:pt>
                <c:pt idx="5">
                  <c:v>(blank)</c:v>
                </c:pt>
              </c:strCache>
            </c:strRef>
          </c:cat>
          <c:val>
            <c:numRef>
              <c:f>Supportive_Pivot_table!$C$51:$C$57</c:f>
              <c:numCache>
                <c:formatCode>General</c:formatCode>
                <c:ptCount val="6"/>
                <c:pt idx="0">
                  <c:v>30</c:v>
                </c:pt>
                <c:pt idx="1">
                  <c:v>16</c:v>
                </c:pt>
                <c:pt idx="2">
                  <c:v>53</c:v>
                </c:pt>
                <c:pt idx="3">
                  <c:v>14</c:v>
                </c:pt>
                <c:pt idx="4">
                  <c:v>38</c:v>
                </c:pt>
                <c:pt idx="5">
                  <c:v>13</c:v>
                </c:pt>
              </c:numCache>
            </c:numRef>
          </c:val>
          <c:extLst>
            <c:ext xmlns:c16="http://schemas.microsoft.com/office/drawing/2014/chart" uri="{C3380CC4-5D6E-409C-BE32-E72D297353CC}">
              <c16:uniqueId val="{0000000C-8899-42C5-8E26-091654371E84}"/>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[02_Hazop_Risk_Analysis_Dahboard.xlsx]Supportive_Pivot_table!pvt10</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Deviation</a:t>
            </a:r>
            <a:r>
              <a:rPr lang="en-US" b="1" baseline="0"/>
              <a:t> Trend</a:t>
            </a:r>
            <a:r>
              <a:rPr lang="en-US" b="1"/>
              <a:t> </a:t>
            </a:r>
            <a:r>
              <a:rPr lang="en-US" b="1" baseline="0"/>
              <a:t> By Months</a:t>
            </a:r>
            <a:endParaRPr lang="en-US" b="1"/>
          </a:p>
        </c:rich>
      </c:tx>
      <c:layout>
        <c:manualLayout>
          <c:xMode val="edge"/>
          <c:yMode val="edge"/>
          <c:x val="0.34395584375482485"/>
          <c:y val="2.824858757062146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tailEnd w="sm"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tailEnd w="sm" len="med"/>
          </a:ln>
          <a:effectLst/>
        </c:spPr>
        <c:marker>
          <c:symbol val="none"/>
        </c:marker>
      </c:pivotFmt>
      <c:pivotFmt>
        <c:idx val="2"/>
        <c:spPr>
          <a:solidFill>
            <a:schemeClr val="accent1"/>
          </a:solidFill>
          <a:ln w="28575" cap="rnd">
            <a:solidFill>
              <a:schemeClr val="accent1"/>
            </a:solidFill>
            <a:round/>
            <a:tailEnd w="sm"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tailEnd w="sm"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329859128209395E-2"/>
          <c:y val="0.28828756480066858"/>
          <c:w val="0.93386720100092369"/>
          <c:h val="0.46680442929708421"/>
        </c:manualLayout>
      </c:layout>
      <c:lineChart>
        <c:grouping val="standard"/>
        <c:varyColors val="0"/>
        <c:ser>
          <c:idx val="0"/>
          <c:order val="0"/>
          <c:tx>
            <c:strRef>
              <c:f>Supportive_Pivot_table!$F$50</c:f>
              <c:strCache>
                <c:ptCount val="1"/>
                <c:pt idx="0">
                  <c:v>Total</c:v>
                </c:pt>
              </c:strCache>
            </c:strRef>
          </c:tx>
          <c:spPr>
            <a:ln w="28575" cap="rnd">
              <a:solidFill>
                <a:schemeClr val="accent1"/>
              </a:solidFill>
              <a:round/>
              <a:tailEnd w="sm" len="me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Supportive_Pivot_table!$E$51:$E$63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Supportive_Pivot_table!$F$51:$F$63</c:f>
              <c:numCache>
                <c:formatCode>General</c:formatCode>
                <c:ptCount val="12"/>
                <c:pt idx="0">
                  <c:v>14</c:v>
                </c:pt>
                <c:pt idx="1">
                  <c:v>15</c:v>
                </c:pt>
                <c:pt idx="2">
                  <c:v>16</c:v>
                </c:pt>
                <c:pt idx="3">
                  <c:v>12</c:v>
                </c:pt>
                <c:pt idx="4">
                  <c:v>19</c:v>
                </c:pt>
                <c:pt idx="5">
                  <c:v>15</c:v>
                </c:pt>
                <c:pt idx="6">
                  <c:v>18</c:v>
                </c:pt>
                <c:pt idx="7">
                  <c:v>10</c:v>
                </c:pt>
                <c:pt idx="8">
                  <c:v>10</c:v>
                </c:pt>
                <c:pt idx="9">
                  <c:v>13</c:v>
                </c:pt>
                <c:pt idx="10">
                  <c:v>14</c:v>
                </c:pt>
                <c:pt idx="11">
                  <c:v>8</c:v>
                </c:pt>
              </c:numCache>
            </c:numRef>
          </c:val>
          <c:smooth val="1"/>
          <c:extLst>
            <c:ext xmlns:c16="http://schemas.microsoft.com/office/drawing/2014/chart" uri="{C3380CC4-5D6E-409C-BE32-E72D297353CC}">
              <c16:uniqueId val="{00000000-B833-46E0-9676-FDDF342ADE8D}"/>
            </c:ext>
          </c:extLst>
        </c:ser>
        <c:dLbls>
          <c:dLblPos val="t"/>
          <c:showLegendKey val="0"/>
          <c:showVal val="1"/>
          <c:showCatName val="0"/>
          <c:showSerName val="0"/>
          <c:showPercent val="0"/>
          <c:showBubbleSize val="0"/>
        </c:dLbls>
        <c:smooth val="0"/>
        <c:axId val="2036032111"/>
        <c:axId val="2004335823"/>
      </c:lineChart>
      <c:catAx>
        <c:axId val="20360321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2004335823"/>
        <c:crosses val="autoZero"/>
        <c:auto val="1"/>
        <c:lblAlgn val="ctr"/>
        <c:lblOffset val="100"/>
        <c:noMultiLvlLbl val="0"/>
      </c:catAx>
      <c:valAx>
        <c:axId val="200433582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6032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[02_Hazop_Risk_Analysis_Dahboard.xlsx]Supportive_Pivot_table!pvt11</c:name>
    <c:fmtId val="3"/>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Average</a:t>
            </a:r>
            <a:r>
              <a:rPr lang="en-US" sz="1600" b="1" baseline="0"/>
              <a:t> Risk Rating By Months</a:t>
            </a:r>
          </a:p>
        </c:rich>
      </c:tx>
      <c:layout>
        <c:manualLayout>
          <c:xMode val="edge"/>
          <c:yMode val="edge"/>
          <c:x val="0.2838407884864585"/>
          <c:y val="9.9357916478101489E-5"/>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2E5C9A"/>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2E5C9A"/>
          </a:solidFill>
          <a:ln>
            <a:noFill/>
          </a:ln>
          <a:effectLst/>
        </c:spPr>
        <c:dLbl>
          <c:idx val="0"/>
          <c:layout>
            <c:manualLayout>
              <c:x val="3.9644682297721126E-2"/>
              <c:y val="-0.3769300635785649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rgbClr val="2E5C9A"/>
          </a:solidFill>
          <a:ln>
            <a:noFill/>
          </a:ln>
          <a:effectLst/>
        </c:spPr>
        <c:dLbl>
          <c:idx val="0"/>
          <c:layout>
            <c:manualLayout>
              <c:x val="1.2070566388115135E-2"/>
              <c:y val="-0.4904632152588556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2E5C9A"/>
          </a:solidFill>
          <a:ln>
            <a:noFill/>
          </a:ln>
          <a:effectLst/>
        </c:spPr>
        <c:dLbl>
          <c:idx val="0"/>
          <c:layout>
            <c:manualLayout>
              <c:x val="-7.7745852799040787E-4"/>
              <c:y val="-0.4405086285195277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rgbClr val="2E5C9A"/>
          </a:solidFill>
          <a:ln>
            <a:noFill/>
          </a:ln>
          <a:effectLst/>
        </c:spPr>
        <c:dLbl>
          <c:idx val="0"/>
          <c:layout>
            <c:manualLayout>
              <c:x val="1.7403914343576132E-2"/>
              <c:y val="-0.476839237057220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2E5C9A"/>
          </a:solidFill>
          <a:ln>
            <a:noFill/>
          </a:ln>
          <a:effectLst/>
        </c:spPr>
        <c:dLbl>
          <c:idx val="0"/>
          <c:layout>
            <c:manualLayout>
              <c:x val="-1.3102157494937088E-3"/>
              <c:y val="-0.3814713896457765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2E5C9A"/>
          </a:solidFill>
          <a:ln>
            <a:noFill/>
          </a:ln>
          <a:effectLst/>
        </c:spPr>
        <c:dLbl>
          <c:idx val="0"/>
          <c:layout>
            <c:manualLayout>
              <c:x val="-1.207056638811527E-2"/>
              <c:y val="-0.3950953678474114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2E5C9A"/>
          </a:solidFill>
          <a:ln>
            <a:noFill/>
          </a:ln>
          <a:effectLst/>
        </c:spPr>
        <c:dLbl>
          <c:idx val="0"/>
          <c:layout>
            <c:manualLayout>
              <c:x val="2.3169273060923094E-2"/>
              <c:y val="-0.5585831062670300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2E5C9A"/>
          </a:solidFill>
          <a:ln>
            <a:noFill/>
          </a:ln>
          <a:effectLst/>
        </c:spPr>
        <c:dLbl>
          <c:idx val="0"/>
          <c:layout>
            <c:manualLayout>
              <c:x val="-7.752359645852136E-3"/>
              <c:y val="-0.386012715712988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2E5C9A"/>
          </a:solidFill>
          <a:ln>
            <a:noFill/>
          </a:ln>
          <a:effectLst/>
        </c:spPr>
        <c:dLbl>
          <c:idx val="0"/>
          <c:layout>
            <c:manualLayout>
              <c:x val="1.9843981897805951E-2"/>
              <c:y val="-0.4541326067211625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rgbClr val="2E5C9A"/>
          </a:solidFill>
          <a:ln>
            <a:noFill/>
          </a:ln>
          <a:effectLst/>
        </c:spPr>
        <c:dLbl>
          <c:idx val="0"/>
          <c:layout>
            <c:manualLayout>
              <c:x val="2.7228741254139821E-2"/>
              <c:y val="-0.4132606721162579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rgbClr val="2E5C9A"/>
          </a:solidFill>
          <a:ln>
            <a:noFill/>
          </a:ln>
          <a:effectLst/>
        </c:spPr>
        <c:dLbl>
          <c:idx val="0"/>
          <c:layout>
            <c:manualLayout>
              <c:x val="9.9325188808223486E-3"/>
              <c:y val="-0.4405086285195277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rgbClr val="2E5C9A"/>
          </a:solidFill>
          <a:ln>
            <a:noFill/>
          </a:ln>
          <a:effectLst/>
        </c:spPr>
        <c:dLbl>
          <c:idx val="0"/>
          <c:layout>
            <c:manualLayout>
              <c:x val="-1.0221598344775148E-3"/>
              <c:y val="-0.5495004541326067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rgbClr val="2E5C9A"/>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rgbClr val="2E5C9A"/>
          </a:solidFill>
          <a:ln>
            <a:noFill/>
          </a:ln>
          <a:effectLst/>
        </c:spPr>
        <c:dLbl>
          <c:idx val="0"/>
          <c:layout>
            <c:manualLayout>
              <c:x val="1.2070566388115135E-2"/>
              <c:y val="-0.4904632152588556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rgbClr val="2E5C9A"/>
          </a:solidFill>
          <a:ln>
            <a:noFill/>
          </a:ln>
          <a:effectLst/>
        </c:spPr>
        <c:dLbl>
          <c:idx val="0"/>
          <c:layout>
            <c:manualLayout>
              <c:x val="3.9644682297721126E-2"/>
              <c:y val="-0.3769300635785649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rgbClr val="2E5C9A"/>
          </a:solidFill>
          <a:ln>
            <a:noFill/>
          </a:ln>
          <a:effectLst/>
        </c:spPr>
        <c:dLbl>
          <c:idx val="0"/>
          <c:layout>
            <c:manualLayout>
              <c:x val="2.3169273060923094E-2"/>
              <c:y val="-0.5585831062670300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rgbClr val="2E5C9A"/>
          </a:solidFill>
          <a:ln>
            <a:noFill/>
          </a:ln>
          <a:effectLst/>
        </c:spPr>
        <c:dLbl>
          <c:idx val="0"/>
          <c:layout>
            <c:manualLayout>
              <c:x val="-1.0221598344775148E-3"/>
              <c:y val="-0.5495004541326067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rgbClr val="2E5C9A"/>
          </a:solidFill>
          <a:ln>
            <a:noFill/>
          </a:ln>
          <a:effectLst/>
        </c:spPr>
        <c:dLbl>
          <c:idx val="0"/>
          <c:layout>
            <c:manualLayout>
              <c:x val="-7.752359645852136E-3"/>
              <c:y val="-0.386012715712988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rgbClr val="2E5C9A"/>
          </a:solidFill>
          <a:ln>
            <a:noFill/>
          </a:ln>
          <a:effectLst/>
        </c:spPr>
        <c:dLbl>
          <c:idx val="0"/>
          <c:layout>
            <c:manualLayout>
              <c:x val="1.9843981897805951E-2"/>
              <c:y val="-0.4541326067211625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rgbClr val="2E5C9A"/>
          </a:solidFill>
          <a:ln>
            <a:noFill/>
          </a:ln>
          <a:effectLst/>
        </c:spPr>
        <c:dLbl>
          <c:idx val="0"/>
          <c:layout>
            <c:manualLayout>
              <c:x val="2.7228741254139821E-2"/>
              <c:y val="-0.4132606721162579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rgbClr val="2E5C9A"/>
          </a:solidFill>
          <a:ln>
            <a:noFill/>
          </a:ln>
          <a:effectLst/>
        </c:spPr>
        <c:dLbl>
          <c:idx val="0"/>
          <c:layout>
            <c:manualLayout>
              <c:x val="9.9325188808223486E-3"/>
              <c:y val="-0.4405086285195277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rgbClr val="2E5C9A"/>
          </a:solidFill>
          <a:ln>
            <a:noFill/>
          </a:ln>
          <a:effectLst/>
        </c:spPr>
        <c:dLbl>
          <c:idx val="0"/>
          <c:layout>
            <c:manualLayout>
              <c:x val="-7.7745852799040787E-4"/>
              <c:y val="-0.4405086285195277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rgbClr val="2E5C9A"/>
          </a:solidFill>
          <a:ln>
            <a:noFill/>
          </a:ln>
          <a:effectLst/>
        </c:spPr>
        <c:dLbl>
          <c:idx val="0"/>
          <c:layout>
            <c:manualLayout>
              <c:x val="1.7403914343576132E-2"/>
              <c:y val="-0.476839237057220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rgbClr val="2E5C9A"/>
          </a:solidFill>
          <a:ln>
            <a:noFill/>
          </a:ln>
          <a:effectLst/>
        </c:spPr>
        <c:dLbl>
          <c:idx val="0"/>
          <c:layout>
            <c:manualLayout>
              <c:x val="-1.3102157494937088E-3"/>
              <c:y val="-0.3814713896457765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rgbClr val="2E5C9A"/>
          </a:solidFill>
          <a:ln>
            <a:noFill/>
          </a:ln>
          <a:effectLst/>
        </c:spPr>
        <c:dLbl>
          <c:idx val="0"/>
          <c:layout>
            <c:manualLayout>
              <c:x val="-1.207056638811527E-2"/>
              <c:y val="-0.3950953678474114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rgbClr val="2E5C9A"/>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solidFill>
            <a:srgbClr val="2E5C9A"/>
          </a:solidFill>
          <a:ln>
            <a:noFill/>
          </a:ln>
          <a:effectLst/>
        </c:spPr>
        <c:dLbl>
          <c:idx val="0"/>
          <c:layout>
            <c:manualLayout>
              <c:x val="1.2070566388115135E-2"/>
              <c:y val="-0.4904632152588556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solidFill>
            <a:srgbClr val="2E5C9A"/>
          </a:solidFill>
          <a:ln>
            <a:noFill/>
          </a:ln>
          <a:effectLst/>
        </c:spPr>
        <c:dLbl>
          <c:idx val="0"/>
          <c:layout>
            <c:manualLayout>
              <c:x val="3.9644682297721126E-2"/>
              <c:y val="-0.3769300635785649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solidFill>
            <a:srgbClr val="2E5C9A"/>
          </a:solidFill>
          <a:ln>
            <a:noFill/>
          </a:ln>
          <a:effectLst/>
        </c:spPr>
        <c:dLbl>
          <c:idx val="0"/>
          <c:layout>
            <c:manualLayout>
              <c:x val="2.3169273060923094E-2"/>
              <c:y val="-0.5585831062670300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0"/>
        <c:spPr>
          <a:solidFill>
            <a:srgbClr val="2E5C9A"/>
          </a:solidFill>
          <a:ln>
            <a:noFill/>
          </a:ln>
          <a:effectLst/>
        </c:spPr>
        <c:dLbl>
          <c:idx val="0"/>
          <c:layout>
            <c:manualLayout>
              <c:x val="-1.0221598344775148E-3"/>
              <c:y val="-0.5495004541326067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1"/>
        <c:spPr>
          <a:solidFill>
            <a:srgbClr val="2E5C9A"/>
          </a:solidFill>
          <a:ln>
            <a:noFill/>
          </a:ln>
          <a:effectLst/>
        </c:spPr>
        <c:dLbl>
          <c:idx val="0"/>
          <c:layout>
            <c:manualLayout>
              <c:x val="-7.752359645852136E-3"/>
              <c:y val="-0.386012715712988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2"/>
        <c:spPr>
          <a:solidFill>
            <a:srgbClr val="2E5C9A"/>
          </a:solidFill>
          <a:ln>
            <a:noFill/>
          </a:ln>
          <a:effectLst/>
        </c:spPr>
        <c:dLbl>
          <c:idx val="0"/>
          <c:layout>
            <c:manualLayout>
              <c:x val="1.9843981897805951E-2"/>
              <c:y val="-0.4541326067211625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3"/>
        <c:spPr>
          <a:solidFill>
            <a:srgbClr val="2E5C9A"/>
          </a:solidFill>
          <a:ln>
            <a:noFill/>
          </a:ln>
          <a:effectLst/>
        </c:spPr>
        <c:dLbl>
          <c:idx val="0"/>
          <c:layout>
            <c:manualLayout>
              <c:x val="2.7228741254139821E-2"/>
              <c:y val="-0.4132606721162579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4"/>
        <c:spPr>
          <a:solidFill>
            <a:srgbClr val="2E5C9A"/>
          </a:solidFill>
          <a:ln>
            <a:noFill/>
          </a:ln>
          <a:effectLst/>
        </c:spPr>
        <c:dLbl>
          <c:idx val="0"/>
          <c:layout>
            <c:manualLayout>
              <c:x val="9.9325188808223486E-3"/>
              <c:y val="-0.4405086285195277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5"/>
        <c:spPr>
          <a:solidFill>
            <a:srgbClr val="2E5C9A"/>
          </a:solidFill>
          <a:ln>
            <a:noFill/>
          </a:ln>
          <a:effectLst/>
        </c:spPr>
        <c:dLbl>
          <c:idx val="0"/>
          <c:layout>
            <c:manualLayout>
              <c:x val="-7.7745852799040787E-4"/>
              <c:y val="-0.4405086285195277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6"/>
        <c:spPr>
          <a:solidFill>
            <a:srgbClr val="2E5C9A"/>
          </a:solidFill>
          <a:ln>
            <a:noFill/>
          </a:ln>
          <a:effectLst/>
        </c:spPr>
        <c:dLbl>
          <c:idx val="0"/>
          <c:layout>
            <c:manualLayout>
              <c:x val="1.7403914343576132E-2"/>
              <c:y val="-0.476839237057220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7"/>
        <c:spPr>
          <a:solidFill>
            <a:srgbClr val="2E5C9A"/>
          </a:solidFill>
          <a:ln>
            <a:noFill/>
          </a:ln>
          <a:effectLst/>
        </c:spPr>
        <c:dLbl>
          <c:idx val="0"/>
          <c:layout>
            <c:manualLayout>
              <c:x val="-1.3102157494937088E-3"/>
              <c:y val="-0.3814713896457765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8"/>
        <c:spPr>
          <a:solidFill>
            <a:srgbClr val="2E5C9A"/>
          </a:solidFill>
          <a:ln>
            <a:noFill/>
          </a:ln>
          <a:effectLst/>
        </c:spPr>
        <c:dLbl>
          <c:idx val="0"/>
          <c:layout>
            <c:manualLayout>
              <c:x val="-1.207056638811527E-2"/>
              <c:y val="-0.3950953678474114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4.6121033121804579E-2"/>
          <c:y val="0.31109393359888521"/>
          <c:w val="0.89531960496155893"/>
          <c:h val="0.53147138540850403"/>
        </c:manualLayout>
      </c:layout>
      <c:areaChart>
        <c:grouping val="standard"/>
        <c:varyColors val="0"/>
        <c:ser>
          <c:idx val="0"/>
          <c:order val="0"/>
          <c:tx>
            <c:strRef>
              <c:f>Supportive_Pivot_table!$C$66</c:f>
              <c:strCache>
                <c:ptCount val="1"/>
                <c:pt idx="0">
                  <c:v>Total</c:v>
                </c:pt>
              </c:strCache>
            </c:strRef>
          </c:tx>
          <c:spPr>
            <a:solidFill>
              <a:srgbClr val="2E5C9A"/>
            </a:solidFill>
            <a:ln>
              <a:noFill/>
            </a:ln>
            <a:effectLst/>
          </c:spPr>
          <c:dPt>
            <c:idx val="0"/>
            <c:bubble3D val="0"/>
            <c:extLst>
              <c:ext xmlns:c16="http://schemas.microsoft.com/office/drawing/2014/chart" uri="{C3380CC4-5D6E-409C-BE32-E72D297353CC}">
                <c16:uniqueId val="{00000000-712C-402D-8A5E-247C03F58994}"/>
              </c:ext>
            </c:extLst>
          </c:dPt>
          <c:dPt>
            <c:idx val="1"/>
            <c:bubble3D val="0"/>
            <c:extLst>
              <c:ext xmlns:c16="http://schemas.microsoft.com/office/drawing/2014/chart" uri="{C3380CC4-5D6E-409C-BE32-E72D297353CC}">
                <c16:uniqueId val="{00000001-712C-402D-8A5E-247C03F58994}"/>
              </c:ext>
            </c:extLst>
          </c:dPt>
          <c:dPt>
            <c:idx val="2"/>
            <c:bubble3D val="0"/>
            <c:extLst>
              <c:ext xmlns:c16="http://schemas.microsoft.com/office/drawing/2014/chart" uri="{C3380CC4-5D6E-409C-BE32-E72D297353CC}">
                <c16:uniqueId val="{00000002-712C-402D-8A5E-247C03F58994}"/>
              </c:ext>
            </c:extLst>
          </c:dPt>
          <c:dPt>
            <c:idx val="3"/>
            <c:bubble3D val="0"/>
            <c:extLst>
              <c:ext xmlns:c16="http://schemas.microsoft.com/office/drawing/2014/chart" uri="{C3380CC4-5D6E-409C-BE32-E72D297353CC}">
                <c16:uniqueId val="{00000003-712C-402D-8A5E-247C03F58994}"/>
              </c:ext>
            </c:extLst>
          </c:dPt>
          <c:dPt>
            <c:idx val="4"/>
            <c:bubble3D val="0"/>
            <c:extLst>
              <c:ext xmlns:c16="http://schemas.microsoft.com/office/drawing/2014/chart" uri="{C3380CC4-5D6E-409C-BE32-E72D297353CC}">
                <c16:uniqueId val="{00000004-712C-402D-8A5E-247C03F58994}"/>
              </c:ext>
            </c:extLst>
          </c:dPt>
          <c:dPt>
            <c:idx val="5"/>
            <c:bubble3D val="0"/>
            <c:extLst>
              <c:ext xmlns:c16="http://schemas.microsoft.com/office/drawing/2014/chart" uri="{C3380CC4-5D6E-409C-BE32-E72D297353CC}">
                <c16:uniqueId val="{00000005-712C-402D-8A5E-247C03F58994}"/>
              </c:ext>
            </c:extLst>
          </c:dPt>
          <c:dPt>
            <c:idx val="6"/>
            <c:bubble3D val="0"/>
            <c:extLst>
              <c:ext xmlns:c16="http://schemas.microsoft.com/office/drawing/2014/chart" uri="{C3380CC4-5D6E-409C-BE32-E72D297353CC}">
                <c16:uniqueId val="{00000006-712C-402D-8A5E-247C03F58994}"/>
              </c:ext>
            </c:extLst>
          </c:dPt>
          <c:dPt>
            <c:idx val="7"/>
            <c:bubble3D val="0"/>
            <c:extLst>
              <c:ext xmlns:c16="http://schemas.microsoft.com/office/drawing/2014/chart" uri="{C3380CC4-5D6E-409C-BE32-E72D297353CC}">
                <c16:uniqueId val="{00000007-712C-402D-8A5E-247C03F58994}"/>
              </c:ext>
            </c:extLst>
          </c:dPt>
          <c:dPt>
            <c:idx val="8"/>
            <c:bubble3D val="0"/>
            <c:extLst>
              <c:ext xmlns:c16="http://schemas.microsoft.com/office/drawing/2014/chart" uri="{C3380CC4-5D6E-409C-BE32-E72D297353CC}">
                <c16:uniqueId val="{00000008-712C-402D-8A5E-247C03F58994}"/>
              </c:ext>
            </c:extLst>
          </c:dPt>
          <c:dPt>
            <c:idx val="9"/>
            <c:bubble3D val="0"/>
            <c:extLst>
              <c:ext xmlns:c16="http://schemas.microsoft.com/office/drawing/2014/chart" uri="{C3380CC4-5D6E-409C-BE32-E72D297353CC}">
                <c16:uniqueId val="{00000009-712C-402D-8A5E-247C03F58994}"/>
              </c:ext>
            </c:extLst>
          </c:dPt>
          <c:dPt>
            <c:idx val="10"/>
            <c:bubble3D val="0"/>
            <c:extLst>
              <c:ext xmlns:c16="http://schemas.microsoft.com/office/drawing/2014/chart" uri="{C3380CC4-5D6E-409C-BE32-E72D297353CC}">
                <c16:uniqueId val="{0000000A-712C-402D-8A5E-247C03F58994}"/>
              </c:ext>
            </c:extLst>
          </c:dPt>
          <c:dPt>
            <c:idx val="11"/>
            <c:bubble3D val="0"/>
            <c:extLst>
              <c:ext xmlns:c16="http://schemas.microsoft.com/office/drawing/2014/chart" uri="{C3380CC4-5D6E-409C-BE32-E72D297353CC}">
                <c16:uniqueId val="{0000000B-712C-402D-8A5E-247C03F58994}"/>
              </c:ext>
            </c:extLst>
          </c:dPt>
          <c:dLbls>
            <c:dLbl>
              <c:idx val="0"/>
              <c:layout>
                <c:manualLayout>
                  <c:x val="1.2070566388115135E-2"/>
                  <c:y val="-0.4904632152588556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12C-402D-8A5E-247C03F58994}"/>
                </c:ext>
              </c:extLst>
            </c:dLbl>
            <c:dLbl>
              <c:idx val="1"/>
              <c:layout>
                <c:manualLayout>
                  <c:x val="3.9644682297721126E-2"/>
                  <c:y val="-0.3769300635785649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12C-402D-8A5E-247C03F58994}"/>
                </c:ext>
              </c:extLst>
            </c:dLbl>
            <c:dLbl>
              <c:idx val="2"/>
              <c:layout>
                <c:manualLayout>
                  <c:x val="2.3169273060923094E-2"/>
                  <c:y val="-0.5585831062670300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12C-402D-8A5E-247C03F58994}"/>
                </c:ext>
              </c:extLst>
            </c:dLbl>
            <c:dLbl>
              <c:idx val="3"/>
              <c:layout>
                <c:manualLayout>
                  <c:x val="-1.0221598344775148E-3"/>
                  <c:y val="-0.5495004541326067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12C-402D-8A5E-247C03F58994}"/>
                </c:ext>
              </c:extLst>
            </c:dLbl>
            <c:dLbl>
              <c:idx val="4"/>
              <c:layout>
                <c:manualLayout>
                  <c:x val="-7.752359645852136E-3"/>
                  <c:y val="-0.386012715712988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12C-402D-8A5E-247C03F58994}"/>
                </c:ext>
              </c:extLst>
            </c:dLbl>
            <c:dLbl>
              <c:idx val="5"/>
              <c:layout>
                <c:manualLayout>
                  <c:x val="1.9843981897805951E-2"/>
                  <c:y val="-0.4541326067211625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12C-402D-8A5E-247C03F58994}"/>
                </c:ext>
              </c:extLst>
            </c:dLbl>
            <c:dLbl>
              <c:idx val="6"/>
              <c:layout>
                <c:manualLayout>
                  <c:x val="2.7228741254139821E-2"/>
                  <c:y val="-0.4132606721162579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12C-402D-8A5E-247C03F58994}"/>
                </c:ext>
              </c:extLst>
            </c:dLbl>
            <c:dLbl>
              <c:idx val="7"/>
              <c:layout>
                <c:manualLayout>
                  <c:x val="9.9325188808223486E-3"/>
                  <c:y val="-0.440508628519527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12C-402D-8A5E-247C03F58994}"/>
                </c:ext>
              </c:extLst>
            </c:dLbl>
            <c:dLbl>
              <c:idx val="8"/>
              <c:layout>
                <c:manualLayout>
                  <c:x val="-7.7745852799040787E-4"/>
                  <c:y val="-0.440508628519527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12C-402D-8A5E-247C03F58994}"/>
                </c:ext>
              </c:extLst>
            </c:dLbl>
            <c:dLbl>
              <c:idx val="9"/>
              <c:layout>
                <c:manualLayout>
                  <c:x val="1.7403914343576132E-2"/>
                  <c:y val="-0.476839237057220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12C-402D-8A5E-247C03F58994}"/>
                </c:ext>
              </c:extLst>
            </c:dLbl>
            <c:dLbl>
              <c:idx val="10"/>
              <c:layout>
                <c:manualLayout>
                  <c:x val="-1.3102157494937088E-3"/>
                  <c:y val="-0.3814713896457765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12C-402D-8A5E-247C03F58994}"/>
                </c:ext>
              </c:extLst>
            </c:dLbl>
            <c:dLbl>
              <c:idx val="11"/>
              <c:layout>
                <c:manualLayout>
                  <c:x val="-1.207056638811527E-2"/>
                  <c:y val="-0.3950953678474114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12C-402D-8A5E-247C03F58994}"/>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Supportive_Pivot_table!$B$67:$B$79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Supportive_Pivot_table!$C$67:$C$79</c:f>
              <c:numCache>
                <c:formatCode>General</c:formatCode>
                <c:ptCount val="12"/>
                <c:pt idx="0">
                  <c:v>9.8461538461538467</c:v>
                </c:pt>
                <c:pt idx="1">
                  <c:v>13.25</c:v>
                </c:pt>
                <c:pt idx="2">
                  <c:v>7.25</c:v>
                </c:pt>
                <c:pt idx="3">
                  <c:v>7.75</c:v>
                </c:pt>
                <c:pt idx="4">
                  <c:v>12.833333333333334</c:v>
                </c:pt>
                <c:pt idx="5">
                  <c:v>9.3333333333333339</c:v>
                </c:pt>
                <c:pt idx="6">
                  <c:v>10.375</c:v>
                </c:pt>
                <c:pt idx="7">
                  <c:v>10.25</c:v>
                </c:pt>
                <c:pt idx="8">
                  <c:v>11.8</c:v>
                </c:pt>
                <c:pt idx="9">
                  <c:v>5.9</c:v>
                </c:pt>
                <c:pt idx="10">
                  <c:v>7.5</c:v>
                </c:pt>
                <c:pt idx="11">
                  <c:v>6.375</c:v>
                </c:pt>
              </c:numCache>
            </c:numRef>
          </c:val>
          <c:extLst>
            <c:ext xmlns:c16="http://schemas.microsoft.com/office/drawing/2014/chart" uri="{C3380CC4-5D6E-409C-BE32-E72D297353CC}">
              <c16:uniqueId val="{0000000C-712C-402D-8A5E-247C03F58994}"/>
            </c:ext>
          </c:extLst>
        </c:ser>
        <c:dLbls>
          <c:showLegendKey val="0"/>
          <c:showVal val="0"/>
          <c:showCatName val="0"/>
          <c:showSerName val="0"/>
          <c:showPercent val="0"/>
          <c:showBubbleSize val="0"/>
        </c:dLbls>
        <c:axId val="1219134800"/>
        <c:axId val="213395856"/>
      </c:areaChart>
      <c:catAx>
        <c:axId val="12191348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213395856"/>
        <c:crosses val="autoZero"/>
        <c:auto val="1"/>
        <c:lblAlgn val="ctr"/>
        <c:lblOffset val="100"/>
        <c:noMultiLvlLbl val="0"/>
      </c:catAx>
      <c:valAx>
        <c:axId val="213395856"/>
        <c:scaling>
          <c:orientation val="minMax"/>
        </c:scaling>
        <c:delete val="1"/>
        <c:axPos val="l"/>
        <c:numFmt formatCode="General" sourceLinked="1"/>
        <c:majorTickMark val="none"/>
        <c:minorTickMark val="none"/>
        <c:tickLblPos val="nextTo"/>
        <c:crossAx val="121913480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[02_Hazop_Risk_Analysis_Dahboard.xlsx]Supportive_Pivot_table!PivotTable9</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Cumulative Status Actions by Month Between Status</a:t>
            </a:r>
          </a:p>
        </c:rich>
      </c:tx>
      <c:layout>
        <c:manualLayout>
          <c:xMode val="edge"/>
          <c:yMode val="edge"/>
          <c:x val="0.30249326121684184"/>
          <c:y val="3.4623926447063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54823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548235"/>
            </a:solidFill>
            <a:round/>
          </a:ln>
          <a:effectLst/>
        </c:spPr>
        <c:marker>
          <c:symbol val="none"/>
        </c:marker>
      </c:pivotFmt>
      <c:pivotFmt>
        <c:idx val="5"/>
        <c:spPr>
          <a:solidFill>
            <a:schemeClr val="accent1"/>
          </a:solidFill>
          <a:ln w="28575" cap="rnd">
            <a:solidFill>
              <a:srgbClr val="54823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rgbClr val="54823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751145803086988E-2"/>
          <c:y val="0.24837674136886737"/>
          <c:w val="0.82771292010407593"/>
          <c:h val="0.52884312537855849"/>
        </c:manualLayout>
      </c:layout>
      <c:lineChart>
        <c:grouping val="standard"/>
        <c:varyColors val="0"/>
        <c:ser>
          <c:idx val="0"/>
          <c:order val="0"/>
          <c:tx>
            <c:strRef>
              <c:f>Supportive_Pivot_table!$F$66:$F$67</c:f>
              <c:strCache>
                <c:ptCount val="1"/>
                <c:pt idx="0">
                  <c:v>Closed</c:v>
                </c:pt>
              </c:strCache>
            </c:strRef>
          </c:tx>
          <c:spPr>
            <a:ln w="28575" cap="rnd">
              <a:solidFill>
                <a:srgbClr val="548235"/>
              </a:solidFill>
              <a:round/>
            </a:ln>
            <a:effectLst/>
          </c:spPr>
          <c:marker>
            <c:symbol val="none"/>
          </c:marker>
          <c:cat>
            <c:strRef>
              <c:f>Supportive_Pivot_table!$E$68:$E$80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Supportive_Pivot_table!$F$68:$F$80</c:f>
              <c:numCache>
                <c:formatCode>General</c:formatCode>
                <c:ptCount val="12"/>
                <c:pt idx="0">
                  <c:v>5</c:v>
                </c:pt>
                <c:pt idx="1">
                  <c:v>9</c:v>
                </c:pt>
                <c:pt idx="2">
                  <c:v>12</c:v>
                </c:pt>
                <c:pt idx="3">
                  <c:v>15</c:v>
                </c:pt>
                <c:pt idx="4">
                  <c:v>18</c:v>
                </c:pt>
                <c:pt idx="5">
                  <c:v>21</c:v>
                </c:pt>
                <c:pt idx="6">
                  <c:v>30</c:v>
                </c:pt>
                <c:pt idx="7">
                  <c:v>30</c:v>
                </c:pt>
                <c:pt idx="8">
                  <c:v>32</c:v>
                </c:pt>
                <c:pt idx="9">
                  <c:v>35</c:v>
                </c:pt>
                <c:pt idx="10">
                  <c:v>38</c:v>
                </c:pt>
                <c:pt idx="11">
                  <c:v>41</c:v>
                </c:pt>
              </c:numCache>
            </c:numRef>
          </c:val>
          <c:smooth val="0"/>
          <c:extLst>
            <c:ext xmlns:c16="http://schemas.microsoft.com/office/drawing/2014/chart" uri="{C3380CC4-5D6E-409C-BE32-E72D297353CC}">
              <c16:uniqueId val="{00000000-F133-4684-8F38-F00D9FB937D0}"/>
            </c:ext>
          </c:extLst>
        </c:ser>
        <c:ser>
          <c:idx val="1"/>
          <c:order val="1"/>
          <c:tx>
            <c:strRef>
              <c:f>Supportive_Pivot_table!$G$66:$G$67</c:f>
              <c:strCache>
                <c:ptCount val="1"/>
                <c:pt idx="0">
                  <c:v>In Progress</c:v>
                </c:pt>
              </c:strCache>
            </c:strRef>
          </c:tx>
          <c:spPr>
            <a:ln w="28575" cap="rnd">
              <a:solidFill>
                <a:schemeClr val="accent2"/>
              </a:solidFill>
              <a:round/>
            </a:ln>
            <a:effectLst/>
          </c:spPr>
          <c:marker>
            <c:symbol val="none"/>
          </c:marker>
          <c:cat>
            <c:strRef>
              <c:f>Supportive_Pivot_table!$E$68:$E$80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Supportive_Pivot_table!$G$68:$G$80</c:f>
              <c:numCache>
                <c:formatCode>General</c:formatCode>
                <c:ptCount val="12"/>
                <c:pt idx="0">
                  <c:v>4</c:v>
                </c:pt>
                <c:pt idx="1">
                  <c:v>7</c:v>
                </c:pt>
                <c:pt idx="2">
                  <c:v>11</c:v>
                </c:pt>
                <c:pt idx="3">
                  <c:v>13</c:v>
                </c:pt>
                <c:pt idx="4">
                  <c:v>20</c:v>
                </c:pt>
                <c:pt idx="5">
                  <c:v>28</c:v>
                </c:pt>
                <c:pt idx="6">
                  <c:v>34</c:v>
                </c:pt>
                <c:pt idx="7">
                  <c:v>38</c:v>
                </c:pt>
                <c:pt idx="8">
                  <c:v>40</c:v>
                </c:pt>
                <c:pt idx="9">
                  <c:v>45</c:v>
                </c:pt>
                <c:pt idx="10">
                  <c:v>51</c:v>
                </c:pt>
                <c:pt idx="11">
                  <c:v>53</c:v>
                </c:pt>
              </c:numCache>
            </c:numRef>
          </c:val>
          <c:smooth val="0"/>
          <c:extLst>
            <c:ext xmlns:c16="http://schemas.microsoft.com/office/drawing/2014/chart" uri="{C3380CC4-5D6E-409C-BE32-E72D297353CC}">
              <c16:uniqueId val="{00000005-7CCD-44D7-8DD0-9E96F16DCEAB}"/>
            </c:ext>
          </c:extLst>
        </c:ser>
        <c:ser>
          <c:idx val="2"/>
          <c:order val="2"/>
          <c:tx>
            <c:strRef>
              <c:f>Supportive_Pivot_table!$H$66:$H$67</c:f>
              <c:strCache>
                <c:ptCount val="1"/>
                <c:pt idx="0">
                  <c:v>Open</c:v>
                </c:pt>
              </c:strCache>
            </c:strRef>
          </c:tx>
          <c:spPr>
            <a:ln w="28575" cap="rnd">
              <a:solidFill>
                <a:srgbClr val="C00000"/>
              </a:solidFill>
              <a:round/>
            </a:ln>
            <a:effectLst/>
          </c:spPr>
          <c:marker>
            <c:symbol val="none"/>
          </c:marker>
          <c:cat>
            <c:strRef>
              <c:f>Supportive_Pivot_table!$E$68:$E$80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Supportive_Pivot_table!$H$68:$H$80</c:f>
              <c:numCache>
                <c:formatCode>General</c:formatCode>
                <c:ptCount val="12"/>
                <c:pt idx="0">
                  <c:v>2</c:v>
                </c:pt>
                <c:pt idx="1">
                  <c:v>5</c:v>
                </c:pt>
                <c:pt idx="2">
                  <c:v>10</c:v>
                </c:pt>
                <c:pt idx="3">
                  <c:v>11</c:v>
                </c:pt>
                <c:pt idx="4">
                  <c:v>14</c:v>
                </c:pt>
                <c:pt idx="5">
                  <c:v>17</c:v>
                </c:pt>
                <c:pt idx="6">
                  <c:v>18</c:v>
                </c:pt>
                <c:pt idx="7">
                  <c:v>20</c:v>
                </c:pt>
                <c:pt idx="8">
                  <c:v>22</c:v>
                </c:pt>
                <c:pt idx="9">
                  <c:v>27</c:v>
                </c:pt>
                <c:pt idx="10">
                  <c:v>28</c:v>
                </c:pt>
                <c:pt idx="11">
                  <c:v>29</c:v>
                </c:pt>
              </c:numCache>
            </c:numRef>
          </c:val>
          <c:smooth val="0"/>
          <c:extLst>
            <c:ext xmlns:c16="http://schemas.microsoft.com/office/drawing/2014/chart" uri="{C3380CC4-5D6E-409C-BE32-E72D297353CC}">
              <c16:uniqueId val="{00000006-7CCD-44D7-8DD0-9E96F16DCEAB}"/>
            </c:ext>
          </c:extLst>
        </c:ser>
        <c:ser>
          <c:idx val="3"/>
          <c:order val="3"/>
          <c:tx>
            <c:strRef>
              <c:f>Supportive_Pivot_table!$I$66:$I$67</c:f>
              <c:strCache>
                <c:ptCount val="1"/>
                <c:pt idx="0">
                  <c:v>Pending</c:v>
                </c:pt>
              </c:strCache>
            </c:strRef>
          </c:tx>
          <c:spPr>
            <a:ln w="28575" cap="rnd">
              <a:solidFill>
                <a:schemeClr val="accent4"/>
              </a:solidFill>
              <a:round/>
            </a:ln>
            <a:effectLst/>
          </c:spPr>
          <c:marker>
            <c:symbol val="none"/>
          </c:marker>
          <c:cat>
            <c:strRef>
              <c:f>Supportive_Pivot_table!$E$68:$E$80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Supportive_Pivot_table!$I$68:$I$80</c:f>
              <c:numCache>
                <c:formatCode>General</c:formatCode>
                <c:ptCount val="12"/>
                <c:pt idx="0">
                  <c:v>1</c:v>
                </c:pt>
                <c:pt idx="1">
                  <c:v>4</c:v>
                </c:pt>
                <c:pt idx="2">
                  <c:v>7</c:v>
                </c:pt>
                <c:pt idx="3">
                  <c:v>9</c:v>
                </c:pt>
                <c:pt idx="4">
                  <c:v>12</c:v>
                </c:pt>
                <c:pt idx="5">
                  <c:v>13</c:v>
                </c:pt>
                <c:pt idx="6">
                  <c:v>14</c:v>
                </c:pt>
                <c:pt idx="7">
                  <c:v>17</c:v>
                </c:pt>
                <c:pt idx="8">
                  <c:v>19</c:v>
                </c:pt>
                <c:pt idx="9">
                  <c:v>19</c:v>
                </c:pt>
                <c:pt idx="10">
                  <c:v>21</c:v>
                </c:pt>
                <c:pt idx="11">
                  <c:v>23</c:v>
                </c:pt>
              </c:numCache>
            </c:numRef>
          </c:val>
          <c:smooth val="0"/>
          <c:extLst>
            <c:ext xmlns:c16="http://schemas.microsoft.com/office/drawing/2014/chart" uri="{C3380CC4-5D6E-409C-BE32-E72D297353CC}">
              <c16:uniqueId val="{00000007-7CCD-44D7-8DD0-9E96F16DCEAB}"/>
            </c:ext>
          </c:extLst>
        </c:ser>
        <c:ser>
          <c:idx val="4"/>
          <c:order val="4"/>
          <c:tx>
            <c:strRef>
              <c:f>Supportive_Pivot_table!$J$66:$J$67</c:f>
              <c:strCache>
                <c:ptCount val="1"/>
                <c:pt idx="0">
                  <c:v>Status Not Documented</c:v>
                </c:pt>
              </c:strCache>
            </c:strRef>
          </c:tx>
          <c:spPr>
            <a:ln w="28575" cap="rnd">
              <a:solidFill>
                <a:schemeClr val="accent5"/>
              </a:solidFill>
              <a:round/>
            </a:ln>
            <a:effectLst/>
          </c:spPr>
          <c:marker>
            <c:symbol val="none"/>
          </c:marker>
          <c:cat>
            <c:strRef>
              <c:f>Supportive_Pivot_table!$E$68:$E$80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Supportive_Pivot_table!$J$68:$J$80</c:f>
              <c:numCache>
                <c:formatCode>General</c:formatCode>
                <c:ptCount val="12"/>
                <c:pt idx="0">
                  <c:v>2</c:v>
                </c:pt>
                <c:pt idx="1">
                  <c:v>4</c:v>
                </c:pt>
                <c:pt idx="2">
                  <c:v>5</c:v>
                </c:pt>
                <c:pt idx="3">
                  <c:v>9</c:v>
                </c:pt>
                <c:pt idx="4">
                  <c:v>12</c:v>
                </c:pt>
                <c:pt idx="5">
                  <c:v>12</c:v>
                </c:pt>
                <c:pt idx="6">
                  <c:v>13</c:v>
                </c:pt>
                <c:pt idx="7">
                  <c:v>14</c:v>
                </c:pt>
                <c:pt idx="8">
                  <c:v>16</c:v>
                </c:pt>
                <c:pt idx="9">
                  <c:v>16</c:v>
                </c:pt>
                <c:pt idx="10">
                  <c:v>18</c:v>
                </c:pt>
                <c:pt idx="11">
                  <c:v>18</c:v>
                </c:pt>
              </c:numCache>
            </c:numRef>
          </c:val>
          <c:smooth val="0"/>
          <c:extLst>
            <c:ext xmlns:c16="http://schemas.microsoft.com/office/drawing/2014/chart" uri="{C3380CC4-5D6E-409C-BE32-E72D297353CC}">
              <c16:uniqueId val="{00000008-7CCD-44D7-8DD0-9E96F16DCEAB}"/>
            </c:ext>
          </c:extLst>
        </c:ser>
        <c:dLbls>
          <c:showLegendKey val="0"/>
          <c:showVal val="0"/>
          <c:showCatName val="0"/>
          <c:showSerName val="0"/>
          <c:showPercent val="0"/>
          <c:showBubbleSize val="0"/>
        </c:dLbls>
        <c:smooth val="0"/>
        <c:axId val="1711449744"/>
        <c:axId val="213136656"/>
      </c:lineChart>
      <c:catAx>
        <c:axId val="171144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75000"/>
                    <a:lumOff val="25000"/>
                  </a:schemeClr>
                </a:solidFill>
                <a:latin typeface="+mn-lt"/>
                <a:ea typeface="+mn-ea"/>
                <a:cs typeface="+mn-cs"/>
              </a:defRPr>
            </a:pPr>
            <a:endParaRPr lang="en-US"/>
          </a:p>
        </c:txPr>
        <c:crossAx val="213136656"/>
        <c:crosses val="autoZero"/>
        <c:auto val="1"/>
        <c:lblAlgn val="ctr"/>
        <c:lblOffset val="100"/>
        <c:noMultiLvlLbl val="0"/>
      </c:catAx>
      <c:valAx>
        <c:axId val="2131366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crossAx val="1711449744"/>
        <c:crosses val="autoZero"/>
        <c:crossBetween val="between"/>
      </c:valAx>
      <c:spPr>
        <a:noFill/>
        <a:ln>
          <a:noFill/>
        </a:ln>
        <a:effectLst/>
      </c:spPr>
    </c:plotArea>
    <c:legend>
      <c:legendPos val="r"/>
      <c:layout>
        <c:manualLayout>
          <c:xMode val="edge"/>
          <c:yMode val="edge"/>
          <c:x val="0.86641809794142333"/>
          <c:y val="0.17038427888821592"/>
          <c:w val="0.13329422162351906"/>
          <c:h val="0.57692711487987092"/>
        </c:manualLayout>
      </c:layout>
      <c:overlay val="0"/>
      <c:spPr>
        <a:solidFill>
          <a:schemeClr val="bg1"/>
        </a:solidFill>
        <a:ln>
          <a:solidFill>
            <a:srgbClr val="C00000"/>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6.sv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5.png"/><Relationship Id="rId17" Type="http://schemas.openxmlformats.org/officeDocument/2006/relationships/image" Target="../media/image9.png"/><Relationship Id="rId2" Type="http://schemas.openxmlformats.org/officeDocument/2006/relationships/chart" Target="../charts/chart2.xml"/><Relationship Id="rId16" Type="http://schemas.openxmlformats.org/officeDocument/2006/relationships/chart" Target="../charts/chart8.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4.svg"/><Relationship Id="rId5" Type="http://schemas.openxmlformats.org/officeDocument/2006/relationships/chart" Target="../charts/chart5.xml"/><Relationship Id="rId15" Type="http://schemas.openxmlformats.org/officeDocument/2006/relationships/image" Target="../media/image8.svg"/><Relationship Id="rId10" Type="http://schemas.openxmlformats.org/officeDocument/2006/relationships/image" Target="../media/image3.png"/><Relationship Id="rId4" Type="http://schemas.openxmlformats.org/officeDocument/2006/relationships/chart" Target="../charts/chart4.xml"/><Relationship Id="rId9" Type="http://schemas.openxmlformats.org/officeDocument/2006/relationships/image" Target="../media/image2.svg"/><Relationship Id="rId1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2</xdr:col>
      <xdr:colOff>182880</xdr:colOff>
      <xdr:row>6</xdr:row>
      <xdr:rowOff>13063</xdr:rowOff>
    </xdr:from>
    <xdr:to>
      <xdr:col>9</xdr:col>
      <xdr:colOff>83820</xdr:colOff>
      <xdr:row>14</xdr:row>
      <xdr:rowOff>160020</xdr:rowOff>
    </xdr:to>
    <xdr:graphicFrame macro="">
      <xdr:nvGraphicFramePr>
        <xdr:cNvPr id="2" name="Chart 1">
          <a:extLst>
            <a:ext uri="{FF2B5EF4-FFF2-40B4-BE49-F238E27FC236}">
              <a16:creationId xmlns:a16="http://schemas.microsoft.com/office/drawing/2014/main" id="{98A810E7-FB57-4B91-9546-046ADA8514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579118</xdr:colOff>
      <xdr:row>6</xdr:row>
      <xdr:rowOff>30480</xdr:rowOff>
    </xdr:from>
    <xdr:to>
      <xdr:col>20</xdr:col>
      <xdr:colOff>419100</xdr:colOff>
      <xdr:row>14</xdr:row>
      <xdr:rowOff>167640</xdr:rowOff>
    </xdr:to>
    <xdr:graphicFrame macro="">
      <xdr:nvGraphicFramePr>
        <xdr:cNvPr id="3" name="Chart 2">
          <a:extLst>
            <a:ext uri="{FF2B5EF4-FFF2-40B4-BE49-F238E27FC236}">
              <a16:creationId xmlns:a16="http://schemas.microsoft.com/office/drawing/2014/main" id="{A101FE8B-00C9-457F-B514-255A382FF1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182880</xdr:colOff>
      <xdr:row>14</xdr:row>
      <xdr:rowOff>175261</xdr:rowOff>
    </xdr:from>
    <xdr:to>
      <xdr:col>9</xdr:col>
      <xdr:colOff>533400</xdr:colOff>
      <xdr:row>22</xdr:row>
      <xdr:rowOff>53340</xdr:rowOff>
    </xdr:to>
    <xdr:graphicFrame macro="">
      <xdr:nvGraphicFramePr>
        <xdr:cNvPr id="4" name="Chart 3">
          <a:extLst>
            <a:ext uri="{FF2B5EF4-FFF2-40B4-BE49-F238E27FC236}">
              <a16:creationId xmlns:a16="http://schemas.microsoft.com/office/drawing/2014/main" id="{4DB471B9-6B2F-47E6-B180-07987DC947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155666</xdr:colOff>
      <xdr:row>6</xdr:row>
      <xdr:rowOff>17961</xdr:rowOff>
    </xdr:from>
    <xdr:to>
      <xdr:col>14</xdr:col>
      <xdr:colOff>509666</xdr:colOff>
      <xdr:row>14</xdr:row>
      <xdr:rowOff>175260</xdr:rowOff>
    </xdr:to>
    <xdr:graphicFrame macro="">
      <xdr:nvGraphicFramePr>
        <xdr:cNvPr id="5" name="Chart 4">
          <a:extLst>
            <a:ext uri="{FF2B5EF4-FFF2-40B4-BE49-F238E27FC236}">
              <a16:creationId xmlns:a16="http://schemas.microsoft.com/office/drawing/2014/main" id="{4307544A-B99E-4EF8-913C-E17284C1BD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129540</xdr:colOff>
      <xdr:row>31</xdr:row>
      <xdr:rowOff>1104</xdr:rowOff>
    </xdr:from>
    <xdr:to>
      <xdr:col>9</xdr:col>
      <xdr:colOff>388620</xdr:colOff>
      <xdr:row>37</xdr:row>
      <xdr:rowOff>180718</xdr:rowOff>
    </xdr:to>
    <xdr:graphicFrame macro="">
      <xdr:nvGraphicFramePr>
        <xdr:cNvPr id="6" name="Chart 5">
          <a:extLst>
            <a:ext uri="{FF2B5EF4-FFF2-40B4-BE49-F238E27FC236}">
              <a16:creationId xmlns:a16="http://schemas.microsoft.com/office/drawing/2014/main" id="{35767738-E88C-44C2-9AF6-7B0EB976B2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586741</xdr:colOff>
      <xdr:row>14</xdr:row>
      <xdr:rowOff>175261</xdr:rowOff>
    </xdr:from>
    <xdr:to>
      <xdr:col>20</xdr:col>
      <xdr:colOff>419101</xdr:colOff>
      <xdr:row>22</xdr:row>
      <xdr:rowOff>55021</xdr:rowOff>
    </xdr:to>
    <xdr:graphicFrame macro="">
      <xdr:nvGraphicFramePr>
        <xdr:cNvPr id="7" name="Chart 6">
          <a:extLst>
            <a:ext uri="{FF2B5EF4-FFF2-40B4-BE49-F238E27FC236}">
              <a16:creationId xmlns:a16="http://schemas.microsoft.com/office/drawing/2014/main" id="{BCEB409F-3C83-4665-BFBE-A39021DFC2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464820</xdr:colOff>
      <xdr:row>30</xdr:row>
      <xdr:rowOff>175258</xdr:rowOff>
    </xdr:from>
    <xdr:to>
      <xdr:col>20</xdr:col>
      <xdr:colOff>419100</xdr:colOff>
      <xdr:row>37</xdr:row>
      <xdr:rowOff>173098</xdr:rowOff>
    </xdr:to>
    <xdr:graphicFrame macro="">
      <xdr:nvGraphicFramePr>
        <xdr:cNvPr id="8" name="Chart 7">
          <a:extLst>
            <a:ext uri="{FF2B5EF4-FFF2-40B4-BE49-F238E27FC236}">
              <a16:creationId xmlns:a16="http://schemas.microsoft.com/office/drawing/2014/main" id="{47C12DC7-ED6E-43DC-8F7C-9A921460CC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0</xdr:col>
      <xdr:colOff>0</xdr:colOff>
      <xdr:row>31</xdr:row>
      <xdr:rowOff>99059</xdr:rowOff>
    </xdr:from>
    <xdr:to>
      <xdr:col>2</xdr:col>
      <xdr:colOff>92553</xdr:colOff>
      <xdr:row>38</xdr:row>
      <xdr:rowOff>7620</xdr:rowOff>
    </xdr:to>
    <mc:AlternateContent xmlns:mc="http://schemas.openxmlformats.org/markup-compatibility/2006" xmlns:a14="http://schemas.microsoft.com/office/drawing/2010/main">
      <mc:Choice Requires="a14">
        <xdr:graphicFrame macro="">
          <xdr:nvGraphicFramePr>
            <xdr:cNvPr id="10" name="Node">
              <a:extLst>
                <a:ext uri="{FF2B5EF4-FFF2-40B4-BE49-F238E27FC236}">
                  <a16:creationId xmlns:a16="http://schemas.microsoft.com/office/drawing/2014/main" id="{267F1CA1-3F0C-4BC4-9677-E92DE4702DAE}"/>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Node"/>
            </a:graphicData>
          </a:graphic>
        </xdr:graphicFrame>
      </mc:Choice>
      <mc:Fallback xmlns="">
        <xdr:sp macro="" textlink="">
          <xdr:nvSpPr>
            <xdr:cNvPr id="0" name=""/>
            <xdr:cNvSpPr>
              <a:spLocks noTextEdit="1"/>
            </xdr:cNvSpPr>
          </xdr:nvSpPr>
          <xdr:spPr>
            <a:xfrm>
              <a:off x="0" y="5768339"/>
              <a:ext cx="1311753" cy="11887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0</xdr:colOff>
      <xdr:row>25</xdr:row>
      <xdr:rowOff>28311</xdr:rowOff>
    </xdr:from>
    <xdr:to>
      <xdr:col>2</xdr:col>
      <xdr:colOff>167640</xdr:colOff>
      <xdr:row>31</xdr:row>
      <xdr:rowOff>51170</xdr:rowOff>
    </xdr:to>
    <mc:AlternateContent xmlns:mc="http://schemas.openxmlformats.org/markup-compatibility/2006" xmlns:a14="http://schemas.microsoft.com/office/drawing/2010/main">
      <mc:Choice Requires="a14">
        <xdr:graphicFrame macro="">
          <xdr:nvGraphicFramePr>
            <xdr:cNvPr id="11" name="Parameter">
              <a:extLst>
                <a:ext uri="{FF2B5EF4-FFF2-40B4-BE49-F238E27FC236}">
                  <a16:creationId xmlns:a16="http://schemas.microsoft.com/office/drawing/2014/main" id="{21407373-CBA8-4A66-8D83-184AE2693EE4}"/>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Parameter"/>
            </a:graphicData>
          </a:graphic>
        </xdr:graphicFrame>
      </mc:Choice>
      <mc:Fallback xmlns="">
        <xdr:sp macro="" textlink="">
          <xdr:nvSpPr>
            <xdr:cNvPr id="0" name=""/>
            <xdr:cNvSpPr>
              <a:spLocks noTextEdit="1"/>
            </xdr:cNvSpPr>
          </xdr:nvSpPr>
          <xdr:spPr>
            <a:xfrm>
              <a:off x="0" y="4600311"/>
              <a:ext cx="1386840" cy="11201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0</xdr:colOff>
      <xdr:row>19</xdr:row>
      <xdr:rowOff>152096</xdr:rowOff>
    </xdr:from>
    <xdr:to>
      <xdr:col>2</xdr:col>
      <xdr:colOff>133800</xdr:colOff>
      <xdr:row>24</xdr:row>
      <xdr:rowOff>159716</xdr:rowOff>
    </xdr:to>
    <mc:AlternateContent xmlns:mc="http://schemas.openxmlformats.org/markup-compatibility/2006" xmlns:a14="http://schemas.microsoft.com/office/drawing/2010/main">
      <mc:Choice Requires="a14">
        <xdr:graphicFrame macro="">
          <xdr:nvGraphicFramePr>
            <xdr:cNvPr id="13" name="Deviation">
              <a:extLst>
                <a:ext uri="{FF2B5EF4-FFF2-40B4-BE49-F238E27FC236}">
                  <a16:creationId xmlns:a16="http://schemas.microsoft.com/office/drawing/2014/main" id="{1319C476-CDA6-4AA2-BE09-2B43835A4EEC}"/>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Deviation"/>
            </a:graphicData>
          </a:graphic>
        </xdr:graphicFrame>
      </mc:Choice>
      <mc:Fallback xmlns="">
        <xdr:sp macro="" textlink="">
          <xdr:nvSpPr>
            <xdr:cNvPr id="0" name=""/>
            <xdr:cNvSpPr>
              <a:spLocks noTextEdit="1"/>
            </xdr:cNvSpPr>
          </xdr:nvSpPr>
          <xdr:spPr>
            <a:xfrm>
              <a:off x="0" y="3626816"/>
              <a:ext cx="1353000" cy="9220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0</xdr:colOff>
      <xdr:row>13</xdr:row>
      <xdr:rowOff>165167</xdr:rowOff>
    </xdr:from>
    <xdr:to>
      <xdr:col>2</xdr:col>
      <xdr:colOff>133800</xdr:colOff>
      <xdr:row>19</xdr:row>
      <xdr:rowOff>104207</xdr:rowOff>
    </xdr:to>
    <mc:AlternateContent xmlns:mc="http://schemas.openxmlformats.org/markup-compatibility/2006" xmlns:a14="http://schemas.microsoft.com/office/drawing/2010/main">
      <mc:Choice Requires="a14">
        <xdr:graphicFrame macro="">
          <xdr:nvGraphicFramePr>
            <xdr:cNvPr id="14" name="Responsible Team">
              <a:extLst>
                <a:ext uri="{FF2B5EF4-FFF2-40B4-BE49-F238E27FC236}">
                  <a16:creationId xmlns:a16="http://schemas.microsoft.com/office/drawing/2014/main" id="{7A4F2748-5E6C-446A-94E7-A5DF893DEE10}"/>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Responsible Team"/>
            </a:graphicData>
          </a:graphic>
        </xdr:graphicFrame>
      </mc:Choice>
      <mc:Fallback xmlns="">
        <xdr:sp macro="" textlink="">
          <xdr:nvSpPr>
            <xdr:cNvPr id="0" name=""/>
            <xdr:cNvSpPr>
              <a:spLocks noTextEdit="1"/>
            </xdr:cNvSpPr>
          </xdr:nvSpPr>
          <xdr:spPr>
            <a:xfrm>
              <a:off x="0" y="2542607"/>
              <a:ext cx="1353000" cy="10363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0</xdr:colOff>
      <xdr:row>8</xdr:row>
      <xdr:rowOff>108849</xdr:rowOff>
    </xdr:from>
    <xdr:to>
      <xdr:col>2</xdr:col>
      <xdr:colOff>133800</xdr:colOff>
      <xdr:row>13</xdr:row>
      <xdr:rowOff>117278</xdr:rowOff>
    </xdr:to>
    <mc:AlternateContent xmlns:mc="http://schemas.openxmlformats.org/markup-compatibility/2006" xmlns:a14="http://schemas.microsoft.com/office/drawing/2010/main">
      <mc:Choice Requires="a14">
        <xdr:graphicFrame macro="">
          <xdr:nvGraphicFramePr>
            <xdr:cNvPr id="15" name="Status">
              <a:extLst>
                <a:ext uri="{FF2B5EF4-FFF2-40B4-BE49-F238E27FC236}">
                  <a16:creationId xmlns:a16="http://schemas.microsoft.com/office/drawing/2014/main" id="{0BE6696C-1026-4BB0-951B-C63C6647689D}"/>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0" y="1571889"/>
              <a:ext cx="1353000" cy="9228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0</xdr:colOff>
      <xdr:row>3</xdr:row>
      <xdr:rowOff>38101</xdr:rowOff>
    </xdr:from>
    <xdr:to>
      <xdr:col>2</xdr:col>
      <xdr:colOff>133800</xdr:colOff>
      <xdr:row>8</xdr:row>
      <xdr:rowOff>60960</xdr:rowOff>
    </xdr:to>
    <mc:AlternateContent xmlns:mc="http://schemas.openxmlformats.org/markup-compatibility/2006" xmlns:a14="http://schemas.microsoft.com/office/drawing/2010/main">
      <mc:Choice Requires="a14">
        <xdr:graphicFrame macro="">
          <xdr:nvGraphicFramePr>
            <xdr:cNvPr id="16" name="Cause 1">
              <a:extLst>
                <a:ext uri="{FF2B5EF4-FFF2-40B4-BE49-F238E27FC236}">
                  <a16:creationId xmlns:a16="http://schemas.microsoft.com/office/drawing/2014/main" id="{926CBC80-0609-422F-9136-43F883F4FDE5}"/>
                </a:ext>
              </a:extLst>
            </xdr:cNvPr>
            <xdr:cNvGraphicFramePr/>
          </xdr:nvGraphicFramePr>
          <xdr:xfrm>
            <a:off x="0" y="0"/>
            <a:ext cx="0" cy="0"/>
          </xdr:xfrm>
          <a:graphic>
            <a:graphicData uri="http://schemas.microsoft.com/office/drawing/2010/slicer">
              <sle:slicer xmlns:sle="http://schemas.microsoft.com/office/drawing/2010/slicer" name="Cause 1"/>
            </a:graphicData>
          </a:graphic>
        </xdr:graphicFrame>
      </mc:Choice>
      <mc:Fallback xmlns="">
        <xdr:sp macro="" textlink="">
          <xdr:nvSpPr>
            <xdr:cNvPr id="0" name=""/>
            <xdr:cNvSpPr>
              <a:spLocks noTextEdit="1"/>
            </xdr:cNvSpPr>
          </xdr:nvSpPr>
          <xdr:spPr>
            <a:xfrm>
              <a:off x="0" y="586741"/>
              <a:ext cx="1353000" cy="9372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20</xdr:col>
      <xdr:colOff>495300</xdr:colOff>
      <xdr:row>3</xdr:row>
      <xdr:rowOff>19350</xdr:rowOff>
    </xdr:from>
    <xdr:to>
      <xdr:col>23</xdr:col>
      <xdr:colOff>30480</xdr:colOff>
      <xdr:row>10</xdr:row>
      <xdr:rowOff>121920</xdr:rowOff>
    </xdr:to>
    <mc:AlternateContent xmlns:mc="http://schemas.openxmlformats.org/markup-compatibility/2006" xmlns:tsle="http://schemas.microsoft.com/office/drawing/2012/timeslicer">
      <mc:Choice Requires="tsle">
        <xdr:graphicFrame macro="">
          <xdr:nvGraphicFramePr>
            <xdr:cNvPr id="18" name="Study Date">
              <a:extLst>
                <a:ext uri="{FF2B5EF4-FFF2-40B4-BE49-F238E27FC236}">
                  <a16:creationId xmlns:a16="http://schemas.microsoft.com/office/drawing/2014/main" id="{DA21D253-ED4E-4328-8571-734222DD20A4}"/>
                </a:ext>
              </a:extLst>
            </xdr:cNvPr>
            <xdr:cNvGraphicFramePr>
              <a:graphicFrameLocks/>
            </xdr:cNvGraphicFramePr>
          </xdr:nvGraphicFramePr>
          <xdr:xfrm>
            <a:off x="0" y="0"/>
            <a:ext cx="0" cy="0"/>
          </xdr:xfrm>
          <a:graphic>
            <a:graphicData uri="http://schemas.microsoft.com/office/drawing/2012/timeslicer">
              <tsle:timeslicer name="Study Date"/>
            </a:graphicData>
          </a:graphic>
        </xdr:graphicFrame>
      </mc:Choice>
      <mc:Fallback xmlns="">
        <xdr:sp macro="" textlink="">
          <xdr:nvSpPr>
            <xdr:cNvPr id="0" name=""/>
            <xdr:cNvSpPr>
              <a:spLocks noTextEdit="1"/>
            </xdr:cNvSpPr>
          </xdr:nvSpPr>
          <xdr:spPr>
            <a:xfrm>
              <a:off x="12687300" y="567990"/>
              <a:ext cx="1363980" cy="138273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fLocksWithSheet="0"/>
  </xdr:twoCellAnchor>
  <xdr:twoCellAnchor editAs="absolute">
    <xdr:from>
      <xdr:col>20</xdr:col>
      <xdr:colOff>464819</xdr:colOff>
      <xdr:row>28</xdr:row>
      <xdr:rowOff>15241</xdr:rowOff>
    </xdr:from>
    <xdr:to>
      <xdr:col>23</xdr:col>
      <xdr:colOff>30480</xdr:colOff>
      <xdr:row>37</xdr:row>
      <xdr:rowOff>160021</xdr:rowOff>
    </xdr:to>
    <mc:AlternateContent xmlns:mc="http://schemas.openxmlformats.org/markup-compatibility/2006" xmlns:tsle="http://schemas.microsoft.com/office/drawing/2012/timeslicer">
      <mc:Choice Requires="tsle">
        <xdr:graphicFrame macro="">
          <xdr:nvGraphicFramePr>
            <xdr:cNvPr id="19" name="Study Date 1">
              <a:extLst>
                <a:ext uri="{FF2B5EF4-FFF2-40B4-BE49-F238E27FC236}">
                  <a16:creationId xmlns:a16="http://schemas.microsoft.com/office/drawing/2014/main" id="{0A8D2FF5-35B4-4030-860F-A1AE5DB6CE28}"/>
                </a:ext>
              </a:extLst>
            </xdr:cNvPr>
            <xdr:cNvGraphicFramePr/>
          </xdr:nvGraphicFramePr>
          <xdr:xfrm>
            <a:off x="0" y="0"/>
            <a:ext cx="0" cy="0"/>
          </xdr:xfrm>
          <a:graphic>
            <a:graphicData uri="http://schemas.microsoft.com/office/drawing/2012/timeslicer">
              <tsle:timeslicer name="Study Date 1"/>
            </a:graphicData>
          </a:graphic>
        </xdr:graphicFrame>
      </mc:Choice>
      <mc:Fallback xmlns="">
        <xdr:sp macro="" textlink="">
          <xdr:nvSpPr>
            <xdr:cNvPr id="0" name=""/>
            <xdr:cNvSpPr>
              <a:spLocks noTextEdit="1"/>
            </xdr:cNvSpPr>
          </xdr:nvSpPr>
          <xdr:spPr>
            <a:xfrm>
              <a:off x="12656819" y="5135880"/>
              <a:ext cx="1394461" cy="184045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fLocksWithSheet="0"/>
  </xdr:twoCellAnchor>
  <xdr:twoCellAnchor editAs="absolute">
    <xdr:from>
      <xdr:col>20</xdr:col>
      <xdr:colOff>480060</xdr:colOff>
      <xdr:row>11</xdr:row>
      <xdr:rowOff>10160</xdr:rowOff>
    </xdr:from>
    <xdr:to>
      <xdr:col>23</xdr:col>
      <xdr:colOff>30480</xdr:colOff>
      <xdr:row>18</xdr:row>
      <xdr:rowOff>154940</xdr:rowOff>
    </xdr:to>
    <mc:AlternateContent xmlns:mc="http://schemas.openxmlformats.org/markup-compatibility/2006" xmlns:tsle="http://schemas.microsoft.com/office/drawing/2012/timeslicer">
      <mc:Choice Requires="tsle">
        <xdr:graphicFrame macro="">
          <xdr:nvGraphicFramePr>
            <xdr:cNvPr id="20" name="Study Date 2">
              <a:extLst>
                <a:ext uri="{FF2B5EF4-FFF2-40B4-BE49-F238E27FC236}">
                  <a16:creationId xmlns:a16="http://schemas.microsoft.com/office/drawing/2014/main" id="{A994ADBD-2FD3-43BB-83D7-B7439AA83862}"/>
                </a:ext>
              </a:extLst>
            </xdr:cNvPr>
            <xdr:cNvGraphicFramePr/>
          </xdr:nvGraphicFramePr>
          <xdr:xfrm>
            <a:off x="0" y="0"/>
            <a:ext cx="0" cy="0"/>
          </xdr:xfrm>
          <a:graphic>
            <a:graphicData uri="http://schemas.microsoft.com/office/drawing/2012/timeslicer">
              <tsle:timeslicer name="Study Date 2"/>
            </a:graphicData>
          </a:graphic>
        </xdr:graphicFrame>
      </mc:Choice>
      <mc:Fallback xmlns="">
        <xdr:sp macro="" textlink="">
          <xdr:nvSpPr>
            <xdr:cNvPr id="0" name=""/>
            <xdr:cNvSpPr>
              <a:spLocks noTextEdit="1"/>
            </xdr:cNvSpPr>
          </xdr:nvSpPr>
          <xdr:spPr>
            <a:xfrm>
              <a:off x="12672060" y="2021840"/>
              <a:ext cx="1379220" cy="142494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fLocksWithSheet="0"/>
  </xdr:twoCellAnchor>
  <xdr:twoCellAnchor editAs="absolute">
    <xdr:from>
      <xdr:col>20</xdr:col>
      <xdr:colOff>464820</xdr:colOff>
      <xdr:row>19</xdr:row>
      <xdr:rowOff>43180</xdr:rowOff>
    </xdr:from>
    <xdr:to>
      <xdr:col>23</xdr:col>
      <xdr:colOff>30480</xdr:colOff>
      <xdr:row>27</xdr:row>
      <xdr:rowOff>127000</xdr:rowOff>
    </xdr:to>
    <mc:AlternateContent xmlns:mc="http://schemas.openxmlformats.org/markup-compatibility/2006" xmlns:tsle="http://schemas.microsoft.com/office/drawing/2012/timeslicer">
      <mc:Choice Requires="tsle">
        <xdr:graphicFrame macro="">
          <xdr:nvGraphicFramePr>
            <xdr:cNvPr id="21" name="Study Date 3">
              <a:extLst>
                <a:ext uri="{FF2B5EF4-FFF2-40B4-BE49-F238E27FC236}">
                  <a16:creationId xmlns:a16="http://schemas.microsoft.com/office/drawing/2014/main" id="{AA6024BB-2710-4AB9-BC3B-CFFF9AA88862}"/>
                </a:ext>
              </a:extLst>
            </xdr:cNvPr>
            <xdr:cNvGraphicFramePr/>
          </xdr:nvGraphicFramePr>
          <xdr:xfrm>
            <a:off x="0" y="0"/>
            <a:ext cx="0" cy="0"/>
          </xdr:xfrm>
          <a:graphic>
            <a:graphicData uri="http://schemas.microsoft.com/office/drawing/2012/timeslicer">
              <tsle:timeslicer name="Study Date 3"/>
            </a:graphicData>
          </a:graphic>
        </xdr:graphicFrame>
      </mc:Choice>
      <mc:Fallback xmlns="">
        <xdr:sp macro="" textlink="">
          <xdr:nvSpPr>
            <xdr:cNvPr id="0" name=""/>
            <xdr:cNvSpPr>
              <a:spLocks noTextEdit="1"/>
            </xdr:cNvSpPr>
          </xdr:nvSpPr>
          <xdr:spPr>
            <a:xfrm>
              <a:off x="12656820" y="3517900"/>
              <a:ext cx="1394460" cy="154686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fLocksWithSheet="0"/>
  </xdr:twoCellAnchor>
  <xdr:twoCellAnchor>
    <xdr:from>
      <xdr:col>2</xdr:col>
      <xdr:colOff>175260</xdr:colOff>
      <xdr:row>3</xdr:row>
      <xdr:rowOff>22860</xdr:rowOff>
    </xdr:from>
    <xdr:to>
      <xdr:col>6</xdr:col>
      <xdr:colOff>518160</xdr:colOff>
      <xdr:row>5</xdr:row>
      <xdr:rowOff>160020</xdr:rowOff>
    </xdr:to>
    <xdr:grpSp>
      <xdr:nvGrpSpPr>
        <xdr:cNvPr id="30" name="Group 29">
          <a:extLst>
            <a:ext uri="{FF2B5EF4-FFF2-40B4-BE49-F238E27FC236}">
              <a16:creationId xmlns:a16="http://schemas.microsoft.com/office/drawing/2014/main" id="{07C2371B-F125-401F-EDE0-0809C90AF704}"/>
            </a:ext>
          </a:extLst>
        </xdr:cNvPr>
        <xdr:cNvGrpSpPr/>
      </xdr:nvGrpSpPr>
      <xdr:grpSpPr>
        <a:xfrm>
          <a:off x="1394460" y="571500"/>
          <a:ext cx="2781300" cy="502920"/>
          <a:chOff x="1600200" y="701040"/>
          <a:chExt cx="2781300" cy="769620"/>
        </a:xfrm>
      </xdr:grpSpPr>
      <xdr:sp macro="" textlink="">
        <xdr:nvSpPr>
          <xdr:cNvPr id="22" name="Rectangle: Rounded Corners 21">
            <a:extLst>
              <a:ext uri="{FF2B5EF4-FFF2-40B4-BE49-F238E27FC236}">
                <a16:creationId xmlns:a16="http://schemas.microsoft.com/office/drawing/2014/main" id="{CEAD0125-05C0-8EDB-5747-39C1A4129231}"/>
              </a:ext>
            </a:extLst>
          </xdr:cNvPr>
          <xdr:cNvSpPr/>
        </xdr:nvSpPr>
        <xdr:spPr>
          <a:xfrm>
            <a:off x="1615440" y="701040"/>
            <a:ext cx="2766060" cy="769620"/>
          </a:xfrm>
          <a:prstGeom prst="roundRect">
            <a:avLst/>
          </a:prstGeom>
          <a:solidFill>
            <a:schemeClr val="bg1"/>
          </a:solidFill>
          <a:ln>
            <a:solidFill>
              <a:srgbClr val="1F38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29" name="Group 28">
            <a:extLst>
              <a:ext uri="{FF2B5EF4-FFF2-40B4-BE49-F238E27FC236}">
                <a16:creationId xmlns:a16="http://schemas.microsoft.com/office/drawing/2014/main" id="{34A63430-6B60-8D9C-3010-DDA36869A131}"/>
              </a:ext>
            </a:extLst>
          </xdr:cNvPr>
          <xdr:cNvGrpSpPr/>
        </xdr:nvGrpSpPr>
        <xdr:grpSpPr>
          <a:xfrm>
            <a:off x="1600200" y="723900"/>
            <a:ext cx="2682240" cy="647700"/>
            <a:chOff x="1638300" y="731520"/>
            <a:chExt cx="2682240" cy="647700"/>
          </a:xfrm>
        </xdr:grpSpPr>
        <xdr:grpSp>
          <xdr:nvGrpSpPr>
            <xdr:cNvPr id="26" name="Group 25">
              <a:extLst>
                <a:ext uri="{FF2B5EF4-FFF2-40B4-BE49-F238E27FC236}">
                  <a16:creationId xmlns:a16="http://schemas.microsoft.com/office/drawing/2014/main" id="{24D2D3E2-A4D5-82D9-C6BA-5A756E97EBFA}"/>
                </a:ext>
              </a:extLst>
            </xdr:cNvPr>
            <xdr:cNvGrpSpPr/>
          </xdr:nvGrpSpPr>
          <xdr:grpSpPr>
            <a:xfrm>
              <a:off x="2385060" y="731520"/>
              <a:ext cx="1935480" cy="647700"/>
              <a:chOff x="2118360" y="754380"/>
              <a:chExt cx="1935480" cy="647700"/>
            </a:xfrm>
          </xdr:grpSpPr>
          <xdr:sp macro="" textlink="Supportive_Pivot_table!$D$8">
            <xdr:nvSpPr>
              <xdr:cNvPr id="23" name="TextBox 22">
                <a:extLst>
                  <a:ext uri="{FF2B5EF4-FFF2-40B4-BE49-F238E27FC236}">
                    <a16:creationId xmlns:a16="http://schemas.microsoft.com/office/drawing/2014/main" id="{A603A360-69ED-CA51-DA99-AC989DFA72CE}"/>
                  </a:ext>
                </a:extLst>
              </xdr:cNvPr>
              <xdr:cNvSpPr txBox="1"/>
            </xdr:nvSpPr>
            <xdr:spPr>
              <a:xfrm>
                <a:off x="2118360" y="1104900"/>
                <a:ext cx="1935480" cy="297180"/>
              </a:xfrm>
              <a:prstGeom prst="rect">
                <a:avLst/>
              </a:prstGeom>
              <a:solidFill>
                <a:schemeClr val="bg1"/>
              </a:solidFill>
              <a:ln w="9525" cmpd="sng">
                <a:solidFill>
                  <a:srgbClr val="1F3864"/>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AD9223F-5B6B-4F08-A938-1D0F76F339C5}" type="TxLink">
                  <a:rPr lang="en-US" sz="2000" b="1" i="0" u="none" strike="noStrike" cap="none" spc="0">
                    <a:ln w="0"/>
                    <a:solidFill>
                      <a:srgbClr val="1F3864"/>
                    </a:solidFill>
                    <a:effectLst>
                      <a:outerShdw blurRad="38100" dist="25400" dir="5400000" algn="ctr" rotWithShape="0">
                        <a:srgbClr val="6E747A">
                          <a:alpha val="43000"/>
                        </a:srgbClr>
                      </a:outerShdw>
                    </a:effectLst>
                    <a:latin typeface="Calibri"/>
                    <a:ea typeface="Calibri"/>
                    <a:cs typeface="Calibri"/>
                  </a:rPr>
                  <a:pPr algn="ctr"/>
                  <a:t>164</a:t>
                </a:fld>
                <a:endParaRPr lang="en-US" sz="1800" b="1" cap="none" spc="0">
                  <a:ln w="0"/>
                  <a:solidFill>
                    <a:srgbClr val="1F3864"/>
                  </a:solidFill>
                  <a:effectLst>
                    <a:outerShdw blurRad="38100" dist="25400" dir="5400000" algn="ctr" rotWithShape="0">
                      <a:srgbClr val="6E747A">
                        <a:alpha val="43000"/>
                      </a:srgbClr>
                    </a:outerShdw>
                  </a:effectLst>
                </a:endParaRPr>
              </a:p>
            </xdr:txBody>
          </xdr:sp>
          <xdr:sp macro="" textlink="Supportive_Pivot_table!$D$8">
            <xdr:nvSpPr>
              <xdr:cNvPr id="25" name="TextBox 24">
                <a:extLst>
                  <a:ext uri="{FF2B5EF4-FFF2-40B4-BE49-F238E27FC236}">
                    <a16:creationId xmlns:a16="http://schemas.microsoft.com/office/drawing/2014/main" id="{164FF35C-DCBC-F287-D517-29E9BC178604}"/>
                  </a:ext>
                </a:extLst>
              </xdr:cNvPr>
              <xdr:cNvSpPr txBox="1"/>
            </xdr:nvSpPr>
            <xdr:spPr>
              <a:xfrm>
                <a:off x="2255520" y="754380"/>
                <a:ext cx="1783080" cy="297180"/>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ysClr val="windowText" lastClr="000000"/>
                    </a:solidFill>
                  </a:rPr>
                  <a:t>Total Deviations </a:t>
                </a:r>
                <a:endParaRPr lang="en-US" sz="1800" b="1" cap="none" spc="0">
                  <a:ln w="0"/>
                  <a:solidFill>
                    <a:sysClr val="windowText" lastClr="000000"/>
                  </a:solidFill>
                  <a:effectLst>
                    <a:outerShdw blurRad="38100" dist="25400" dir="5400000" algn="ctr" rotWithShape="0">
                      <a:srgbClr val="6E747A">
                        <a:alpha val="43000"/>
                      </a:srgbClr>
                    </a:outerShdw>
                  </a:effectLst>
                </a:endParaRPr>
              </a:p>
            </xdr:txBody>
          </xdr:sp>
        </xdr:grpSp>
        <xdr:pic>
          <xdr:nvPicPr>
            <xdr:cNvPr id="28" name="Graphic 27" descr="Warning with solid fill">
              <a:extLst>
                <a:ext uri="{FF2B5EF4-FFF2-40B4-BE49-F238E27FC236}">
                  <a16:creationId xmlns:a16="http://schemas.microsoft.com/office/drawing/2014/main" id="{F81E2D04-CF31-AB7D-CB70-7F3EE55B5B2A}"/>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638300" y="868680"/>
              <a:ext cx="693420" cy="450723"/>
            </a:xfrm>
            <a:prstGeom prst="rect">
              <a:avLst/>
            </a:prstGeom>
          </xdr:spPr>
        </xdr:pic>
      </xdr:grpSp>
    </xdr:grpSp>
    <xdr:clientData/>
  </xdr:twoCellAnchor>
  <xdr:twoCellAnchor>
    <xdr:from>
      <xdr:col>6</xdr:col>
      <xdr:colOff>556260</xdr:colOff>
      <xdr:row>3</xdr:row>
      <xdr:rowOff>22860</xdr:rowOff>
    </xdr:from>
    <xdr:to>
      <xdr:col>11</xdr:col>
      <xdr:colOff>274320</xdr:colOff>
      <xdr:row>5</xdr:row>
      <xdr:rowOff>161100</xdr:rowOff>
    </xdr:to>
    <xdr:grpSp>
      <xdr:nvGrpSpPr>
        <xdr:cNvPr id="31" name="Group 30">
          <a:extLst>
            <a:ext uri="{FF2B5EF4-FFF2-40B4-BE49-F238E27FC236}">
              <a16:creationId xmlns:a16="http://schemas.microsoft.com/office/drawing/2014/main" id="{4D340F2A-DC0E-A537-B8DC-4BDBEC8CA85B}"/>
            </a:ext>
          </a:extLst>
        </xdr:cNvPr>
        <xdr:cNvGrpSpPr/>
      </xdr:nvGrpSpPr>
      <xdr:grpSpPr>
        <a:xfrm>
          <a:off x="4213860" y="571500"/>
          <a:ext cx="2766060" cy="504000"/>
          <a:chOff x="1615440" y="701040"/>
          <a:chExt cx="2766060" cy="769620"/>
        </a:xfrm>
      </xdr:grpSpPr>
      <xdr:sp macro="" textlink="">
        <xdr:nvSpPr>
          <xdr:cNvPr id="32" name="Rectangle: Rounded Corners 31">
            <a:extLst>
              <a:ext uri="{FF2B5EF4-FFF2-40B4-BE49-F238E27FC236}">
                <a16:creationId xmlns:a16="http://schemas.microsoft.com/office/drawing/2014/main" id="{7288A321-5140-1D15-C0EA-D0AAA5C905AE}"/>
              </a:ext>
            </a:extLst>
          </xdr:cNvPr>
          <xdr:cNvSpPr/>
        </xdr:nvSpPr>
        <xdr:spPr>
          <a:xfrm>
            <a:off x="1615440" y="701040"/>
            <a:ext cx="2766060" cy="769620"/>
          </a:xfrm>
          <a:prstGeom prst="roundRect">
            <a:avLst/>
          </a:prstGeom>
          <a:solidFill>
            <a:schemeClr val="bg1"/>
          </a:solidFill>
          <a:ln>
            <a:solidFill>
              <a:srgbClr val="1F38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33" name="Group 32">
            <a:extLst>
              <a:ext uri="{FF2B5EF4-FFF2-40B4-BE49-F238E27FC236}">
                <a16:creationId xmlns:a16="http://schemas.microsoft.com/office/drawing/2014/main" id="{D9B3228F-3363-8161-D2F0-31F1F3B4D58D}"/>
              </a:ext>
            </a:extLst>
          </xdr:cNvPr>
          <xdr:cNvGrpSpPr/>
        </xdr:nvGrpSpPr>
        <xdr:grpSpPr>
          <a:xfrm>
            <a:off x="1713700" y="761938"/>
            <a:ext cx="2629700" cy="625168"/>
            <a:chOff x="1751800" y="769558"/>
            <a:chExt cx="2629700" cy="625168"/>
          </a:xfrm>
        </xdr:grpSpPr>
        <xdr:grpSp>
          <xdr:nvGrpSpPr>
            <xdr:cNvPr id="34" name="Group 33">
              <a:extLst>
                <a:ext uri="{FF2B5EF4-FFF2-40B4-BE49-F238E27FC236}">
                  <a16:creationId xmlns:a16="http://schemas.microsoft.com/office/drawing/2014/main" id="{01099E75-8489-A29A-FD49-96FC3792E59F}"/>
                </a:ext>
              </a:extLst>
            </xdr:cNvPr>
            <xdr:cNvGrpSpPr/>
          </xdr:nvGrpSpPr>
          <xdr:grpSpPr>
            <a:xfrm>
              <a:off x="2255520" y="769558"/>
              <a:ext cx="2125980" cy="609662"/>
              <a:chOff x="1988820" y="792418"/>
              <a:chExt cx="2125980" cy="609662"/>
            </a:xfrm>
          </xdr:grpSpPr>
          <xdr:sp macro="" textlink="Supportive_Pivot_table!$G$13">
            <xdr:nvSpPr>
              <xdr:cNvPr id="36" name="TextBox 35">
                <a:extLst>
                  <a:ext uri="{FF2B5EF4-FFF2-40B4-BE49-F238E27FC236}">
                    <a16:creationId xmlns:a16="http://schemas.microsoft.com/office/drawing/2014/main" id="{10C55B63-F428-2C2D-1648-509B11C54E85}"/>
                  </a:ext>
                </a:extLst>
              </xdr:cNvPr>
              <xdr:cNvSpPr txBox="1"/>
            </xdr:nvSpPr>
            <xdr:spPr>
              <a:xfrm>
                <a:off x="2118360" y="1104900"/>
                <a:ext cx="1935480" cy="297180"/>
              </a:xfrm>
              <a:prstGeom prst="rect">
                <a:avLst/>
              </a:prstGeom>
              <a:solidFill>
                <a:schemeClr val="bg1"/>
              </a:solidFill>
              <a:ln w="9525" cmpd="sng">
                <a:solidFill>
                  <a:srgbClr val="1F3864"/>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830C379-2631-4E07-8D76-4BE154A9A994}" type="TxLink">
                  <a:rPr lang="en-US" sz="1800" b="1" i="0" u="none" strike="noStrike" cap="none" spc="0">
                    <a:ln w="0">
                      <a:solidFill>
                        <a:srgbClr val="1F3864"/>
                      </a:solidFill>
                    </a:ln>
                    <a:solidFill>
                      <a:srgbClr val="1F3864"/>
                    </a:solidFill>
                    <a:effectLst>
                      <a:outerShdw blurRad="38100" dist="25400" dir="5400000" algn="ctr" rotWithShape="0">
                        <a:srgbClr val="6E747A">
                          <a:alpha val="43000"/>
                        </a:srgbClr>
                      </a:outerShdw>
                    </a:effectLst>
                    <a:latin typeface="Calibri"/>
                    <a:ea typeface="Calibri"/>
                    <a:cs typeface="Calibri"/>
                  </a:rPr>
                  <a:pPr algn="ctr"/>
                  <a:t>113</a:t>
                </a:fld>
                <a:endParaRPr lang="en-US" sz="2800" b="1" cap="none" spc="0">
                  <a:ln w="0">
                    <a:solidFill>
                      <a:srgbClr val="1F3864"/>
                    </a:solidFill>
                  </a:ln>
                  <a:solidFill>
                    <a:srgbClr val="1F3864"/>
                  </a:solidFill>
                  <a:effectLst>
                    <a:outerShdw blurRad="38100" dist="25400" dir="5400000" algn="ctr" rotWithShape="0">
                      <a:srgbClr val="6E747A">
                        <a:alpha val="43000"/>
                      </a:srgbClr>
                    </a:outerShdw>
                  </a:effectLst>
                </a:endParaRPr>
              </a:p>
            </xdr:txBody>
          </xdr:sp>
          <xdr:sp macro="" textlink="Supportive_Pivot_table!$D$8">
            <xdr:nvSpPr>
              <xdr:cNvPr id="37" name="TextBox 36">
                <a:extLst>
                  <a:ext uri="{FF2B5EF4-FFF2-40B4-BE49-F238E27FC236}">
                    <a16:creationId xmlns:a16="http://schemas.microsoft.com/office/drawing/2014/main" id="{B775126F-5646-8025-E381-9DC869BDCBFB}"/>
                  </a:ext>
                </a:extLst>
              </xdr:cNvPr>
              <xdr:cNvSpPr txBox="1"/>
            </xdr:nvSpPr>
            <xdr:spPr>
              <a:xfrm>
                <a:off x="1988820" y="792418"/>
                <a:ext cx="2125980" cy="264908"/>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a:solidFill>
                      <a:sysClr val="windowText" lastClr="000000"/>
                    </a:solidFill>
                  </a:rPr>
                  <a:t>Total</a:t>
                </a:r>
                <a:r>
                  <a:rPr lang="en-US" sz="1050" b="1" baseline="0">
                    <a:solidFill>
                      <a:sysClr val="windowText" lastClr="000000"/>
                    </a:solidFill>
                  </a:rPr>
                  <a:t> Actionable Recommendation</a:t>
                </a:r>
                <a:r>
                  <a:rPr lang="en-US" sz="1050" b="1">
                    <a:solidFill>
                      <a:sysClr val="windowText" lastClr="000000"/>
                    </a:solidFill>
                  </a:rPr>
                  <a:t> </a:t>
                </a:r>
                <a:endParaRPr lang="en-US" sz="1050" b="1" cap="none" spc="0">
                  <a:ln w="0"/>
                  <a:solidFill>
                    <a:sysClr val="windowText" lastClr="000000"/>
                  </a:solidFill>
                  <a:effectLst>
                    <a:outerShdw blurRad="38100" dist="25400" dir="5400000" algn="ctr" rotWithShape="0">
                      <a:srgbClr val="6E747A">
                        <a:alpha val="43000"/>
                      </a:srgbClr>
                    </a:outerShdw>
                  </a:effectLst>
                </a:endParaRPr>
              </a:p>
            </xdr:txBody>
          </xdr:sp>
        </xdr:grpSp>
        <xdr:pic>
          <xdr:nvPicPr>
            <xdr:cNvPr id="35" name="Graphic 34" descr="Checklist with solid fill">
              <a:extLst>
                <a:ext uri="{FF2B5EF4-FFF2-40B4-BE49-F238E27FC236}">
                  <a16:creationId xmlns:a16="http://schemas.microsoft.com/office/drawing/2014/main" id="{A8C4DE99-70E7-1BFE-88F9-F0410064DB87}"/>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rcRect/>
            <a:stretch/>
          </xdr:blipFill>
          <xdr:spPr>
            <a:xfrm>
              <a:off x="1751800" y="838230"/>
              <a:ext cx="557060" cy="556496"/>
            </a:xfrm>
            <a:prstGeom prst="rect">
              <a:avLst/>
            </a:prstGeom>
          </xdr:spPr>
        </xdr:pic>
      </xdr:grpSp>
    </xdr:grpSp>
    <xdr:clientData/>
  </xdr:twoCellAnchor>
  <xdr:twoCellAnchor>
    <xdr:from>
      <xdr:col>11</xdr:col>
      <xdr:colOff>312420</xdr:colOff>
      <xdr:row>3</xdr:row>
      <xdr:rowOff>22860</xdr:rowOff>
    </xdr:from>
    <xdr:to>
      <xdr:col>16</xdr:col>
      <xdr:colOff>30480</xdr:colOff>
      <xdr:row>5</xdr:row>
      <xdr:rowOff>161100</xdr:rowOff>
    </xdr:to>
    <xdr:grpSp>
      <xdr:nvGrpSpPr>
        <xdr:cNvPr id="38" name="Group 37">
          <a:extLst>
            <a:ext uri="{FF2B5EF4-FFF2-40B4-BE49-F238E27FC236}">
              <a16:creationId xmlns:a16="http://schemas.microsoft.com/office/drawing/2014/main" id="{E323CA36-9725-0A4A-986F-D0753B590F11}"/>
            </a:ext>
          </a:extLst>
        </xdr:cNvPr>
        <xdr:cNvGrpSpPr/>
      </xdr:nvGrpSpPr>
      <xdr:grpSpPr>
        <a:xfrm>
          <a:off x="7018020" y="571500"/>
          <a:ext cx="2766060" cy="504000"/>
          <a:chOff x="1615440" y="701040"/>
          <a:chExt cx="2766060" cy="769620"/>
        </a:xfrm>
      </xdr:grpSpPr>
      <xdr:sp macro="" textlink="">
        <xdr:nvSpPr>
          <xdr:cNvPr id="39" name="Rectangle: Rounded Corners 38">
            <a:extLst>
              <a:ext uri="{FF2B5EF4-FFF2-40B4-BE49-F238E27FC236}">
                <a16:creationId xmlns:a16="http://schemas.microsoft.com/office/drawing/2014/main" id="{697523F8-7D90-A8DB-3727-E351F8DE9F56}"/>
              </a:ext>
            </a:extLst>
          </xdr:cNvPr>
          <xdr:cNvSpPr/>
        </xdr:nvSpPr>
        <xdr:spPr>
          <a:xfrm>
            <a:off x="1615440" y="701040"/>
            <a:ext cx="2766060" cy="769620"/>
          </a:xfrm>
          <a:prstGeom prst="roundRect">
            <a:avLst/>
          </a:prstGeom>
          <a:solidFill>
            <a:schemeClr val="bg1"/>
          </a:solidFill>
          <a:ln>
            <a:solidFill>
              <a:srgbClr val="1F38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40" name="Group 39">
            <a:extLst>
              <a:ext uri="{FF2B5EF4-FFF2-40B4-BE49-F238E27FC236}">
                <a16:creationId xmlns:a16="http://schemas.microsoft.com/office/drawing/2014/main" id="{B62D566A-52F0-76CE-20AE-4048B29A12C5}"/>
              </a:ext>
            </a:extLst>
          </xdr:cNvPr>
          <xdr:cNvGrpSpPr/>
        </xdr:nvGrpSpPr>
        <xdr:grpSpPr>
          <a:xfrm>
            <a:off x="1645348" y="723900"/>
            <a:ext cx="2637092" cy="655892"/>
            <a:chOff x="1683448" y="731520"/>
            <a:chExt cx="2637092" cy="655892"/>
          </a:xfrm>
        </xdr:grpSpPr>
        <xdr:grpSp>
          <xdr:nvGrpSpPr>
            <xdr:cNvPr id="41" name="Group 40">
              <a:extLst>
                <a:ext uri="{FF2B5EF4-FFF2-40B4-BE49-F238E27FC236}">
                  <a16:creationId xmlns:a16="http://schemas.microsoft.com/office/drawing/2014/main" id="{70ED4F17-7CC5-C7C6-BBC9-A93AF96C0F17}"/>
                </a:ext>
              </a:extLst>
            </xdr:cNvPr>
            <xdr:cNvGrpSpPr/>
          </xdr:nvGrpSpPr>
          <xdr:grpSpPr>
            <a:xfrm>
              <a:off x="2385060" y="731520"/>
              <a:ext cx="1935480" cy="647700"/>
              <a:chOff x="2118360" y="754380"/>
              <a:chExt cx="1935480" cy="647700"/>
            </a:xfrm>
          </xdr:grpSpPr>
          <xdr:sp macro="" textlink="Supportive_Pivot_table!$I$8">
            <xdr:nvSpPr>
              <xdr:cNvPr id="43" name="TextBox 42">
                <a:extLst>
                  <a:ext uri="{FF2B5EF4-FFF2-40B4-BE49-F238E27FC236}">
                    <a16:creationId xmlns:a16="http://schemas.microsoft.com/office/drawing/2014/main" id="{5CA01EF0-A712-8226-4CEE-6114B4DD3A28}"/>
                  </a:ext>
                </a:extLst>
              </xdr:cNvPr>
              <xdr:cNvSpPr txBox="1"/>
            </xdr:nvSpPr>
            <xdr:spPr>
              <a:xfrm>
                <a:off x="2118360" y="1104900"/>
                <a:ext cx="1935480" cy="297180"/>
              </a:xfrm>
              <a:prstGeom prst="rect">
                <a:avLst/>
              </a:prstGeom>
              <a:solidFill>
                <a:schemeClr val="bg1"/>
              </a:solidFill>
              <a:ln w="9525" cmpd="sng">
                <a:solidFill>
                  <a:srgbClr val="1F3864"/>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0D7C3A2-CAF5-401F-90EC-2B671D3BC7E2}" type="TxLink">
                  <a:rPr lang="en-US" sz="2000" b="1" i="0" u="none" strike="noStrike" cap="none" spc="0">
                    <a:ln w="0"/>
                    <a:solidFill>
                      <a:srgbClr val="1F3864"/>
                    </a:solidFill>
                    <a:effectLst>
                      <a:outerShdw blurRad="38100" dist="25400" dir="5400000" algn="ctr" rotWithShape="0">
                        <a:srgbClr val="6E747A">
                          <a:alpha val="43000"/>
                        </a:srgbClr>
                      </a:outerShdw>
                    </a:effectLst>
                    <a:latin typeface="Calibri"/>
                    <a:ea typeface="Calibri"/>
                    <a:cs typeface="Calibri"/>
                  </a:rPr>
                  <a:pPr algn="ctr"/>
                  <a:t>9.53</a:t>
                </a:fld>
                <a:endParaRPr lang="en-US" sz="3200" b="1" cap="none" spc="0">
                  <a:ln w="0"/>
                  <a:solidFill>
                    <a:srgbClr val="1F3864"/>
                  </a:solidFill>
                  <a:effectLst>
                    <a:outerShdw blurRad="38100" dist="25400" dir="5400000" algn="ctr" rotWithShape="0">
                      <a:srgbClr val="6E747A">
                        <a:alpha val="43000"/>
                      </a:srgbClr>
                    </a:outerShdw>
                  </a:effectLst>
                </a:endParaRPr>
              </a:p>
            </xdr:txBody>
          </xdr:sp>
          <xdr:sp macro="" textlink="Supportive_Pivot_table!$D$8">
            <xdr:nvSpPr>
              <xdr:cNvPr id="44" name="TextBox 43">
                <a:extLst>
                  <a:ext uri="{FF2B5EF4-FFF2-40B4-BE49-F238E27FC236}">
                    <a16:creationId xmlns:a16="http://schemas.microsoft.com/office/drawing/2014/main" id="{39A0E3BD-9A2D-6357-03B8-D87E8E9FD57D}"/>
                  </a:ext>
                </a:extLst>
              </xdr:cNvPr>
              <xdr:cNvSpPr txBox="1"/>
            </xdr:nvSpPr>
            <xdr:spPr>
              <a:xfrm>
                <a:off x="2255520" y="754380"/>
                <a:ext cx="1783080" cy="297180"/>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ysClr val="windowText" lastClr="000000"/>
                    </a:solidFill>
                  </a:rPr>
                  <a:t>Avg</a:t>
                </a:r>
                <a:r>
                  <a:rPr lang="en-US" sz="1800" b="1" baseline="0">
                    <a:solidFill>
                      <a:sysClr val="windowText" lastClr="000000"/>
                    </a:solidFill>
                  </a:rPr>
                  <a:t> Risk Rating</a:t>
                </a:r>
                <a:r>
                  <a:rPr lang="en-US" sz="1800" b="1">
                    <a:solidFill>
                      <a:sysClr val="windowText" lastClr="000000"/>
                    </a:solidFill>
                  </a:rPr>
                  <a:t> </a:t>
                </a:r>
                <a:endParaRPr lang="en-US" sz="1800" b="1" cap="none" spc="0">
                  <a:ln w="0"/>
                  <a:solidFill>
                    <a:sysClr val="windowText" lastClr="000000"/>
                  </a:solidFill>
                  <a:effectLst>
                    <a:outerShdw blurRad="38100" dist="25400" dir="5400000" algn="ctr" rotWithShape="0">
                      <a:srgbClr val="6E747A">
                        <a:alpha val="43000"/>
                      </a:srgbClr>
                    </a:outerShdw>
                  </a:effectLst>
                </a:endParaRPr>
              </a:p>
            </xdr:txBody>
          </xdr:sp>
        </xdr:grpSp>
        <xdr:pic>
          <xdr:nvPicPr>
            <xdr:cNvPr id="42" name="Graphic 41" descr="Gauge with solid fill">
              <a:extLst>
                <a:ext uri="{FF2B5EF4-FFF2-40B4-BE49-F238E27FC236}">
                  <a16:creationId xmlns:a16="http://schemas.microsoft.com/office/drawing/2014/main" id="{EF79931D-1812-FB52-567A-913163149816}"/>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rcRect/>
            <a:stretch/>
          </xdr:blipFill>
          <xdr:spPr>
            <a:xfrm>
              <a:off x="1683448" y="746760"/>
              <a:ext cx="640652" cy="640652"/>
            </a:xfrm>
            <a:prstGeom prst="rect">
              <a:avLst/>
            </a:prstGeom>
          </xdr:spPr>
        </xdr:pic>
      </xdr:grpSp>
    </xdr:grpSp>
    <xdr:clientData/>
  </xdr:twoCellAnchor>
  <xdr:twoCellAnchor>
    <xdr:from>
      <xdr:col>16</xdr:col>
      <xdr:colOff>68580</xdr:colOff>
      <xdr:row>3</xdr:row>
      <xdr:rowOff>22860</xdr:rowOff>
    </xdr:from>
    <xdr:to>
      <xdr:col>20</xdr:col>
      <xdr:colOff>396240</xdr:colOff>
      <xdr:row>5</xdr:row>
      <xdr:rowOff>161100</xdr:rowOff>
    </xdr:to>
    <xdr:grpSp>
      <xdr:nvGrpSpPr>
        <xdr:cNvPr id="45" name="Group 44">
          <a:extLst>
            <a:ext uri="{FF2B5EF4-FFF2-40B4-BE49-F238E27FC236}">
              <a16:creationId xmlns:a16="http://schemas.microsoft.com/office/drawing/2014/main" id="{0246919C-AEFC-7899-570A-04BCC496FBB9}"/>
            </a:ext>
          </a:extLst>
        </xdr:cNvPr>
        <xdr:cNvGrpSpPr/>
      </xdr:nvGrpSpPr>
      <xdr:grpSpPr>
        <a:xfrm>
          <a:off x="9822180" y="571500"/>
          <a:ext cx="2766060" cy="504000"/>
          <a:chOff x="1615440" y="701040"/>
          <a:chExt cx="2766060" cy="769620"/>
        </a:xfrm>
      </xdr:grpSpPr>
      <xdr:sp macro="" textlink="">
        <xdr:nvSpPr>
          <xdr:cNvPr id="46" name="Rectangle: Rounded Corners 45">
            <a:extLst>
              <a:ext uri="{FF2B5EF4-FFF2-40B4-BE49-F238E27FC236}">
                <a16:creationId xmlns:a16="http://schemas.microsoft.com/office/drawing/2014/main" id="{E53757BE-8DE9-B7D3-2EAE-0D212DD739CA}"/>
              </a:ext>
            </a:extLst>
          </xdr:cNvPr>
          <xdr:cNvSpPr/>
        </xdr:nvSpPr>
        <xdr:spPr>
          <a:xfrm>
            <a:off x="1615440" y="701040"/>
            <a:ext cx="2766060" cy="769620"/>
          </a:xfrm>
          <a:prstGeom prst="roundRect">
            <a:avLst/>
          </a:prstGeom>
          <a:solidFill>
            <a:schemeClr val="bg1"/>
          </a:solidFill>
          <a:ln>
            <a:solidFill>
              <a:srgbClr val="1F38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47" name="Group 46">
            <a:extLst>
              <a:ext uri="{FF2B5EF4-FFF2-40B4-BE49-F238E27FC236}">
                <a16:creationId xmlns:a16="http://schemas.microsoft.com/office/drawing/2014/main" id="{2D9DFD10-19D7-4C56-184E-27DB850F8457}"/>
              </a:ext>
            </a:extLst>
          </xdr:cNvPr>
          <xdr:cNvGrpSpPr/>
        </xdr:nvGrpSpPr>
        <xdr:grpSpPr>
          <a:xfrm>
            <a:off x="1660588" y="723900"/>
            <a:ext cx="2720912" cy="647700"/>
            <a:chOff x="1698688" y="731520"/>
            <a:chExt cx="2720912" cy="647700"/>
          </a:xfrm>
        </xdr:grpSpPr>
        <xdr:grpSp>
          <xdr:nvGrpSpPr>
            <xdr:cNvPr id="48" name="Group 47">
              <a:extLst>
                <a:ext uri="{FF2B5EF4-FFF2-40B4-BE49-F238E27FC236}">
                  <a16:creationId xmlns:a16="http://schemas.microsoft.com/office/drawing/2014/main" id="{717FBAA2-657D-D213-BC58-36B5FC5401A8}"/>
                </a:ext>
              </a:extLst>
            </xdr:cNvPr>
            <xdr:cNvGrpSpPr/>
          </xdr:nvGrpSpPr>
          <xdr:grpSpPr>
            <a:xfrm>
              <a:off x="2308860" y="731520"/>
              <a:ext cx="2110740" cy="647700"/>
              <a:chOff x="2042160" y="754380"/>
              <a:chExt cx="2110740" cy="647700"/>
            </a:xfrm>
          </xdr:grpSpPr>
          <xdr:sp macro="" textlink="Supportive_Pivot_table!$E$22">
            <xdr:nvSpPr>
              <xdr:cNvPr id="50" name="TextBox 49">
                <a:extLst>
                  <a:ext uri="{FF2B5EF4-FFF2-40B4-BE49-F238E27FC236}">
                    <a16:creationId xmlns:a16="http://schemas.microsoft.com/office/drawing/2014/main" id="{DD82C680-31B0-4C32-E5DC-B9341AA063E0}"/>
                  </a:ext>
                </a:extLst>
              </xdr:cNvPr>
              <xdr:cNvSpPr txBox="1"/>
            </xdr:nvSpPr>
            <xdr:spPr>
              <a:xfrm>
                <a:off x="2118360" y="1104900"/>
                <a:ext cx="1935480" cy="297180"/>
              </a:xfrm>
              <a:prstGeom prst="rect">
                <a:avLst/>
              </a:prstGeom>
              <a:solidFill>
                <a:schemeClr val="bg1"/>
              </a:solidFill>
              <a:ln w="9525" cmpd="sng">
                <a:solidFill>
                  <a:srgbClr val="1F3864"/>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0B5058A-CE80-420D-9FFB-2FCE396C5C86}" type="TxLink">
                  <a:rPr lang="en-US" sz="1600" b="1" i="0" u="none" strike="noStrike" cap="none" spc="0">
                    <a:ln w="0"/>
                    <a:solidFill>
                      <a:srgbClr val="000000"/>
                    </a:solidFill>
                    <a:effectLst>
                      <a:outerShdw blurRad="38100" dist="25400" dir="5400000" algn="ctr" rotWithShape="0">
                        <a:srgbClr val="6E747A">
                          <a:alpha val="43000"/>
                        </a:srgbClr>
                      </a:outerShdw>
                    </a:effectLst>
                    <a:latin typeface="Calibri"/>
                    <a:ea typeface="Calibri"/>
                    <a:cs typeface="Calibri"/>
                  </a:rPr>
                  <a:pPr algn="ctr"/>
                  <a:t>164</a:t>
                </a:fld>
                <a:endParaRPr lang="en-US" sz="4800" b="1" cap="none" spc="0">
                  <a:ln w="0"/>
                  <a:solidFill>
                    <a:srgbClr val="1F3864"/>
                  </a:solidFill>
                  <a:effectLst>
                    <a:outerShdw blurRad="38100" dist="25400" dir="5400000" algn="ctr" rotWithShape="0">
                      <a:srgbClr val="6E747A">
                        <a:alpha val="43000"/>
                      </a:srgbClr>
                    </a:outerShdw>
                  </a:effectLst>
                </a:endParaRPr>
              </a:p>
            </xdr:txBody>
          </xdr:sp>
          <xdr:sp macro="" textlink="Supportive_Pivot_table!$D$8">
            <xdr:nvSpPr>
              <xdr:cNvPr id="51" name="TextBox 50">
                <a:extLst>
                  <a:ext uri="{FF2B5EF4-FFF2-40B4-BE49-F238E27FC236}">
                    <a16:creationId xmlns:a16="http://schemas.microsoft.com/office/drawing/2014/main" id="{73E503D8-0E94-E6F8-3FE8-AB5E1439229B}"/>
                  </a:ext>
                </a:extLst>
              </xdr:cNvPr>
              <xdr:cNvSpPr txBox="1"/>
            </xdr:nvSpPr>
            <xdr:spPr>
              <a:xfrm>
                <a:off x="2042160" y="754380"/>
                <a:ext cx="2110740" cy="320040"/>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baseline="0">
                    <a:solidFill>
                      <a:sysClr val="windowText" lastClr="000000"/>
                    </a:solidFill>
                  </a:rPr>
                  <a:t>Total Status</a:t>
                </a:r>
                <a:r>
                  <a:rPr lang="en-US" sz="1600" b="1">
                    <a:solidFill>
                      <a:sysClr val="windowText" lastClr="000000"/>
                    </a:solidFill>
                  </a:rPr>
                  <a:t> </a:t>
                </a:r>
                <a:endParaRPr lang="en-US" sz="1600" b="1" cap="none" spc="0">
                  <a:ln w="0"/>
                  <a:solidFill>
                    <a:sysClr val="windowText" lastClr="000000"/>
                  </a:solidFill>
                  <a:effectLst>
                    <a:outerShdw blurRad="38100" dist="25400" dir="5400000" algn="ctr" rotWithShape="0">
                      <a:srgbClr val="6E747A">
                        <a:alpha val="43000"/>
                      </a:srgbClr>
                    </a:outerShdw>
                  </a:effectLst>
                </a:endParaRPr>
              </a:p>
            </xdr:txBody>
          </xdr:sp>
        </xdr:grpSp>
        <xdr:pic>
          <xdr:nvPicPr>
            <xdr:cNvPr id="49" name="Graphic 48" descr="Hourglass Finished with solid fill">
              <a:extLst>
                <a:ext uri="{FF2B5EF4-FFF2-40B4-BE49-F238E27FC236}">
                  <a16:creationId xmlns:a16="http://schemas.microsoft.com/office/drawing/2014/main" id="{92D55DF5-E037-7409-5DB7-776755B45449}"/>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rcRect/>
            <a:stretch/>
          </xdr:blipFill>
          <xdr:spPr>
            <a:xfrm>
              <a:off x="1698688" y="883920"/>
              <a:ext cx="579692" cy="450723"/>
            </a:xfrm>
            <a:prstGeom prst="rect">
              <a:avLst/>
            </a:prstGeom>
          </xdr:spPr>
        </xdr:pic>
      </xdr:grpSp>
    </xdr:grpSp>
    <xdr:clientData/>
  </xdr:twoCellAnchor>
  <xdr:twoCellAnchor>
    <xdr:from>
      <xdr:col>2</xdr:col>
      <xdr:colOff>182880</xdr:colOff>
      <xdr:row>22</xdr:row>
      <xdr:rowOff>121920</xdr:rowOff>
    </xdr:from>
    <xdr:to>
      <xdr:col>20</xdr:col>
      <xdr:colOff>434340</xdr:colOff>
      <xdr:row>30</xdr:row>
      <xdr:rowOff>144780</xdr:rowOff>
    </xdr:to>
    <xdr:graphicFrame macro="">
      <xdr:nvGraphicFramePr>
        <xdr:cNvPr id="52" name="Chart 51">
          <a:extLst>
            <a:ext uri="{FF2B5EF4-FFF2-40B4-BE49-F238E27FC236}">
              <a16:creationId xmlns:a16="http://schemas.microsoft.com/office/drawing/2014/main" id="{F226C297-108E-4F46-82D5-F7B471516F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0</xdr:col>
      <xdr:colOff>0</xdr:colOff>
      <xdr:row>3</xdr:row>
      <xdr:rowOff>38101</xdr:rowOff>
    </xdr:from>
    <xdr:to>
      <xdr:col>2</xdr:col>
      <xdr:colOff>133800</xdr:colOff>
      <xdr:row>8</xdr:row>
      <xdr:rowOff>60960</xdr:rowOff>
    </xdr:to>
    <mc:AlternateContent xmlns:mc="http://schemas.openxmlformats.org/markup-compatibility/2006" xmlns:a14="http://schemas.microsoft.com/office/drawing/2010/main">
      <mc:Choice Requires="a14">
        <xdr:graphicFrame macro="">
          <xdr:nvGraphicFramePr>
            <xdr:cNvPr id="53" name="Cause 2">
              <a:extLst>
                <a:ext uri="{FF2B5EF4-FFF2-40B4-BE49-F238E27FC236}">
                  <a16:creationId xmlns:a16="http://schemas.microsoft.com/office/drawing/2014/main" id="{91D5A02F-518A-2672-5B37-6647B8F879C4}"/>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ause 2"/>
            </a:graphicData>
          </a:graphic>
        </xdr:graphicFrame>
      </mc:Choice>
      <mc:Fallback xmlns="">
        <xdr:sp macro="" textlink="">
          <xdr:nvSpPr>
            <xdr:cNvPr id="0" name=""/>
            <xdr:cNvSpPr>
              <a:spLocks noTextEdit="1"/>
            </xdr:cNvSpPr>
          </xdr:nvSpPr>
          <xdr:spPr>
            <a:xfrm>
              <a:off x="0" y="586741"/>
              <a:ext cx="1353000" cy="9372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0</xdr:colOff>
      <xdr:row>0</xdr:row>
      <xdr:rowOff>0</xdr:rowOff>
    </xdr:from>
    <xdr:to>
      <xdr:col>2</xdr:col>
      <xdr:colOff>495300</xdr:colOff>
      <xdr:row>3</xdr:row>
      <xdr:rowOff>46109</xdr:rowOff>
    </xdr:to>
    <xdr:pic>
      <xdr:nvPicPr>
        <xdr:cNvPr id="55" name="Picture 54">
          <a:extLst>
            <a:ext uri="{FF2B5EF4-FFF2-40B4-BE49-F238E27FC236}">
              <a16:creationId xmlns:a16="http://schemas.microsoft.com/office/drawing/2014/main" id="{FF88E959-6540-A6FA-E584-9C1EAAA879C5}"/>
            </a:ext>
          </a:extLst>
        </xdr:cNvPr>
        <xdr:cNvPicPr>
          <a:picLocks noChangeAspect="1"/>
        </xdr:cNvPicPr>
      </xdr:nvPicPr>
      <xdr:blipFill>
        <a:blip xmlns:r="http://schemas.openxmlformats.org/officeDocument/2006/relationships" r:embed="rId17">
          <a:biLevel thresh="25000"/>
          <a:extLst>
            <a:ext uri="{28A0092B-C50C-407E-A947-70E740481C1C}">
              <a14:useLocalDpi xmlns:a14="http://schemas.microsoft.com/office/drawing/2010/main" val="0"/>
            </a:ext>
          </a:extLst>
        </a:blip>
        <a:stretch>
          <a:fillRect/>
        </a:stretch>
      </xdr:blipFill>
      <xdr:spPr>
        <a:xfrm>
          <a:off x="0" y="0"/>
          <a:ext cx="1714500" cy="594749"/>
        </a:xfrm>
        <a:prstGeom prst="rect">
          <a:avLst/>
        </a:prstGeom>
      </xdr:spPr>
    </xdr:pic>
    <xdr:clientData/>
  </xdr:twoCellAnchor>
  <xdr:twoCellAnchor>
    <xdr:from>
      <xdr:col>19</xdr:col>
      <xdr:colOff>281940</xdr:colOff>
      <xdr:row>0</xdr:row>
      <xdr:rowOff>45720</xdr:rowOff>
    </xdr:from>
    <xdr:to>
      <xdr:col>22</xdr:col>
      <xdr:colOff>464820</xdr:colOff>
      <xdr:row>1</xdr:row>
      <xdr:rowOff>99060</xdr:rowOff>
    </xdr:to>
    <xdr:sp macro="" textlink="">
      <xdr:nvSpPr>
        <xdr:cNvPr id="56" name="TextBox 55">
          <a:extLst>
            <a:ext uri="{FF2B5EF4-FFF2-40B4-BE49-F238E27FC236}">
              <a16:creationId xmlns:a16="http://schemas.microsoft.com/office/drawing/2014/main" id="{641EC8FD-5CE0-AE9B-3A69-24ABBE38A28D}"/>
            </a:ext>
          </a:extLst>
        </xdr:cNvPr>
        <xdr:cNvSpPr txBox="1"/>
      </xdr:nvSpPr>
      <xdr:spPr>
        <a:xfrm>
          <a:off x="11864340" y="45720"/>
          <a:ext cx="2011680" cy="236220"/>
        </a:xfrm>
        <a:prstGeom prst="rect">
          <a:avLst/>
        </a:prstGeom>
        <a:solidFill>
          <a:srgbClr val="1F3864"/>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Date</a:t>
          </a:r>
          <a:r>
            <a:rPr lang="en-US" sz="1400" b="1" baseline="0">
              <a:solidFill>
                <a:schemeClr val="bg1"/>
              </a:solidFill>
            </a:rPr>
            <a:t> Updated Through:</a:t>
          </a:r>
          <a:endParaRPr lang="en-US" sz="1400" b="1">
            <a:solidFill>
              <a:schemeClr val="bg1"/>
            </a:solidFill>
          </a:endParaRPr>
        </a:p>
      </xdr:txBody>
    </xdr:sp>
    <xdr:clientData/>
  </xdr:twoCellAnchor>
  <xdr:twoCellAnchor>
    <xdr:from>
      <xdr:col>19</xdr:col>
      <xdr:colOff>167640</xdr:colOff>
      <xdr:row>1</xdr:row>
      <xdr:rowOff>160020</xdr:rowOff>
    </xdr:from>
    <xdr:to>
      <xdr:col>22</xdr:col>
      <xdr:colOff>426720</xdr:colOff>
      <xdr:row>2</xdr:row>
      <xdr:rowOff>121920</xdr:rowOff>
    </xdr:to>
    <xdr:sp macro="" textlink="hazop_risk_analysis_cleaned!W8">
      <xdr:nvSpPr>
        <xdr:cNvPr id="57" name="TextBox 56">
          <a:extLst>
            <a:ext uri="{FF2B5EF4-FFF2-40B4-BE49-F238E27FC236}">
              <a16:creationId xmlns:a16="http://schemas.microsoft.com/office/drawing/2014/main" id="{92E00DEB-86E8-2463-250A-5C7163A2D643}"/>
            </a:ext>
          </a:extLst>
        </xdr:cNvPr>
        <xdr:cNvSpPr txBox="1"/>
      </xdr:nvSpPr>
      <xdr:spPr>
        <a:xfrm>
          <a:off x="11750040" y="342900"/>
          <a:ext cx="2087880" cy="144780"/>
        </a:xfrm>
        <a:prstGeom prst="rect">
          <a:avLst/>
        </a:prstGeom>
        <a:solidFill>
          <a:srgbClr val="1F3864"/>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5A408E3-C5B6-4318-855D-7BC52C030D02}" type="TxLink">
            <a:rPr lang="en-US" sz="1600" b="1" i="0" u="none" strike="noStrike">
              <a:ln>
                <a:solidFill>
                  <a:schemeClr val="bg1"/>
                </a:solidFill>
              </a:ln>
              <a:solidFill>
                <a:schemeClr val="bg1"/>
              </a:solidFill>
              <a:latin typeface="Calibri"/>
              <a:ea typeface="Calibri"/>
              <a:cs typeface="Calibri"/>
            </a:rPr>
            <a:pPr algn="ctr"/>
            <a:t>01-12-2024</a:t>
          </a:fld>
          <a:endParaRPr lang="en-US" sz="1400" b="1">
            <a:ln>
              <a:solidFill>
                <a:schemeClr val="bg1"/>
              </a:solidFill>
            </a:ln>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cky kumar" refreshedDate="46250.088021759257" createdVersion="8" refreshedVersion="8" minRefreshableVersion="3" recordCount="164" xr:uid="{43999CC4-6B01-49FC-AEC9-2CF615E785B7}">
  <cacheSource type="worksheet">
    <worksheetSource name="hazop_risk_analysis_cleaned"/>
  </cacheSource>
  <cacheFields count="19">
    <cacheField name="HAZOP_ID" numFmtId="0">
      <sharedItems containsSemiMixedTypes="0" containsString="0" containsNumber="1" containsInteger="1" minValue="1001" maxValue="1180"/>
    </cacheField>
    <cacheField name="Study Date" numFmtId="14">
      <sharedItems containsSemiMixedTypes="0" containsNonDate="0" containsDate="1" containsString="0" minDate="2023-01-06T00:00:00" maxDate="2024-12-02T00:00:00" count="145">
        <d v="2024-01-12T00:00:00"/>
        <d v="2024-07-30T00:00:00"/>
        <d v="2024-06-27T00:00:00"/>
        <d v="2023-10-22T00:00:00"/>
        <d v="2023-01-07T00:00:00"/>
        <d v="2024-06-11T00:00:00"/>
        <d v="2023-07-05T00:00:00"/>
        <d v="2024-10-07T00:00:00"/>
        <d v="2024-05-18T00:00:00"/>
        <d v="2024-11-05T00:00:00"/>
        <d v="2024-03-28T00:00:00"/>
        <d v="2024-07-21T00:00:00"/>
        <d v="2023-07-12T00:00:00"/>
        <d v="2024-02-09T00:00:00"/>
        <d v="2023-12-09T00:00:00"/>
        <d v="2023-10-16T00:00:00"/>
        <d v="2024-10-18T00:00:00"/>
        <d v="2023-01-27T00:00:00"/>
        <d v="2023-03-26T00:00:00"/>
        <d v="2024-05-05T00:00:00"/>
        <d v="2023-12-08T00:00:00"/>
        <d v="2023-03-11T00:00:00"/>
        <d v="2023-10-02T00:00:00"/>
        <d v="2024-05-17T00:00:00"/>
        <d v="2023-03-29T00:00:00"/>
        <d v="2024-03-04T00:00:00"/>
        <d v="2023-08-20T00:00:00"/>
        <d v="2024-01-25T00:00:00"/>
        <d v="2023-06-26T00:00:00"/>
        <d v="2023-03-12T00:00:00"/>
        <d v="2023-05-27T00:00:00"/>
        <d v="2024-07-20T00:00:00"/>
        <d v="2023-05-07T00:00:00"/>
        <d v="2023-10-23T00:00:00"/>
        <d v="2023-03-16T00:00:00"/>
        <d v="2023-12-26T00:00:00"/>
        <d v="2023-05-26T00:00:00"/>
        <d v="2024-01-29T00:00:00"/>
        <d v="2023-02-10T00:00:00"/>
        <d v="2024-03-06T00:00:00"/>
        <d v="2024-04-29T00:00:00"/>
        <d v="2023-04-10T00:00:00"/>
        <d v="2024-07-06T00:00:00"/>
        <d v="2024-06-24T00:00:00"/>
        <d v="2024-10-11T00:00:00"/>
        <d v="2024-02-13T00:00:00"/>
        <d v="2024-10-09T00:00:00"/>
        <d v="2023-07-01T00:00:00"/>
        <d v="2023-06-07T00:00:00"/>
        <d v="2023-12-11T00:00:00"/>
        <d v="2023-10-05T00:00:00"/>
        <d v="2024-12-01T00:00:00"/>
        <d v="2023-03-25T00:00:00"/>
        <d v="2023-06-14T00:00:00"/>
        <d v="2023-02-22T00:00:00"/>
        <d v="2023-01-06T00:00:00"/>
        <d v="2024-05-16T00:00:00"/>
        <d v="2023-09-04T00:00:00"/>
        <d v="2024-07-29T00:00:00"/>
        <d v="2024-10-31T00:00:00"/>
        <d v="2024-05-19T00:00:00"/>
        <d v="2023-11-16T00:00:00"/>
        <d v="2024-04-20T00:00:00"/>
        <d v="2023-02-23T00:00:00"/>
        <d v="2024-05-12T00:00:00"/>
        <d v="2023-05-30T00:00:00"/>
        <d v="2024-05-24T00:00:00"/>
        <d v="2023-09-09T00:00:00"/>
        <d v="2023-08-15T00:00:00"/>
        <d v="2024-11-17T00:00:00"/>
        <d v="2024-05-01T00:00:00"/>
        <d v="2023-07-15T00:00:00"/>
        <d v="2024-02-26T00:00:00"/>
        <d v="2024-08-01T00:00:00"/>
        <d v="2024-10-22T00:00:00"/>
        <d v="2024-02-15T00:00:00"/>
        <d v="2024-07-13T00:00:00"/>
        <d v="2023-10-30T00:00:00"/>
        <d v="2023-05-23T00:00:00"/>
        <d v="2023-09-02T00:00:00"/>
        <d v="2024-04-04T00:00:00"/>
        <d v="2023-02-18T00:00:00"/>
        <d v="2024-09-27T00:00:00"/>
        <d v="2023-05-14T00:00:00"/>
        <d v="2023-11-04T00:00:00"/>
        <d v="2024-04-16T00:00:00"/>
        <d v="2023-03-24T00:00:00"/>
        <d v="2023-12-30T00:00:00"/>
        <d v="2023-11-06T00:00:00"/>
        <d v="2024-03-05T00:00:00"/>
        <d v="2024-08-20T00:00:00"/>
        <d v="2023-06-11T00:00:00"/>
        <d v="2024-04-07T00:00:00"/>
        <d v="2023-11-02T00:00:00"/>
        <d v="2024-01-24T00:00:00"/>
        <d v="2024-06-03T00:00:00"/>
        <d v="2023-06-30T00:00:00"/>
        <d v="2024-09-04T00:00:00"/>
        <d v="2024-08-07T00:00:00"/>
        <d v="2024-07-02T00:00:00"/>
        <d v="2024-11-13T00:00:00"/>
        <d v="2023-03-17T00:00:00"/>
        <d v="2024-05-04T00:00:00"/>
        <d v="2023-02-25T00:00:00"/>
        <d v="2024-02-08T00:00:00"/>
        <d v="2024-02-25T00:00:00"/>
        <d v="2024-04-28T00:00:00"/>
        <d v="2023-11-20T00:00:00"/>
        <d v="2024-03-17T00:00:00"/>
        <d v="2024-04-05T00:00:00"/>
        <d v="2024-02-14T00:00:00"/>
        <d v="2024-06-10T00:00:00"/>
        <d v="2023-08-25T00:00:00"/>
        <d v="2024-09-26T00:00:00"/>
        <d v="2023-05-02T00:00:00"/>
        <d v="2024-07-31T00:00:00"/>
        <d v="2023-07-23T00:00:00"/>
        <d v="2023-02-07T00:00:00"/>
        <d v="2023-04-11T00:00:00"/>
        <d v="2024-04-09T00:00:00"/>
        <d v="2023-01-15T00:00:00"/>
        <d v="2024-01-18T00:00:00"/>
        <d v="2024-08-06T00:00:00"/>
        <d v="2024-07-28T00:00:00"/>
        <d v="2024-05-29T00:00:00"/>
        <d v="2023-09-11T00:00:00"/>
        <d v="2024-02-28T00:00:00"/>
        <d v="2023-08-19T00:00:00"/>
        <d v="2024-08-16T00:00:00"/>
        <d v="2024-08-10T00:00:00"/>
        <d v="2023-07-04T00:00:00"/>
        <d v="2024-06-13T00:00:00"/>
        <d v="2024-01-03T00:00:00"/>
        <d v="2024-09-05T00:00:00"/>
        <d v="2024-11-08T00:00:00"/>
        <d v="2023-06-15T00:00:00"/>
        <d v="2023-05-11T00:00:00"/>
        <d v="2024-11-26T00:00:00"/>
        <d v="2023-01-17T00:00:00"/>
        <d v="2023-11-12T00:00:00"/>
        <d v="2024-06-01T00:00:00"/>
        <d v="2024-09-24T00:00:00"/>
        <d v="2024-04-15T00:00:00"/>
        <d v="2024-10-25T00:00:00"/>
        <d v="2023-01-16T00:00:00"/>
      </sharedItems>
    </cacheField>
    <cacheField name="Year" numFmtId="0">
      <sharedItems containsSemiMixedTypes="0" containsString="0" containsNumber="1" containsInteger="1" minValue="2023" maxValue="2024"/>
    </cacheField>
    <cacheField name="Quarter" numFmtId="0">
      <sharedItems containsSemiMixedTypes="0" containsString="0" containsNumber="1" containsInteger="1" minValue="1" maxValue="4"/>
    </cacheField>
    <cacheField name="Month Name" numFmtId="0">
      <sharedItems count="12">
        <s v="January"/>
        <s v="July"/>
        <s v="June"/>
        <s v="October"/>
        <s v="May"/>
        <s v="November"/>
        <s v="March"/>
        <s v="February"/>
        <s v="December"/>
        <s v="August"/>
        <s v="April"/>
        <s v="September"/>
      </sharedItems>
    </cacheField>
    <cacheField name="Day Name" numFmtId="0">
      <sharedItems/>
    </cacheField>
    <cacheField name="Node" numFmtId="0">
      <sharedItems count="14">
        <s v="Feed Line To R-101"/>
        <s v="Reactor R101"/>
        <s v="Node Not Specified"/>
        <s v="Pump P-501"/>
        <s v="Separator V701"/>
        <s v="Boiler B-801"/>
        <s v="Heat Exchanger E-401"/>
        <s v="Cooling Water Loop"/>
        <s v="Heat Exchanger E401"/>
        <s v="Compressor K-601"/>
        <s v="Storage Tank T-201"/>
        <s v="Distillation Column C-301"/>
        <s v="Separator V-701"/>
        <s v="Reactor R-101"/>
      </sharedItems>
    </cacheField>
    <cacheField name="Parameter" numFmtId="0">
      <sharedItems count="8">
        <s v="Reaction Rate"/>
        <s v="Ph"/>
        <s v="Level"/>
        <s v="Flow"/>
        <s v="Pressure"/>
        <s v="Temperature"/>
        <s v="Parameter Not Specified"/>
        <s v="Composition"/>
      </sharedItems>
    </cacheField>
    <cacheField name="Guide Word" numFmtId="0">
      <sharedItems/>
    </cacheField>
    <cacheField name="Deviation" numFmtId="0">
      <sharedItems count="55">
        <s v="Part Of Reaction Rate"/>
        <s v="More Ph"/>
        <s v="As Well As Level"/>
        <s v="No Flow"/>
        <s v="Less Level"/>
        <s v="Less Reaction Rate"/>
        <s v="Part Of Flow"/>
        <s v="Less Pressure"/>
        <s v="Part Of Level"/>
        <s v="Early Flow"/>
        <s v="More Temperature"/>
        <s v="Not Specified"/>
        <s v="No Temperature"/>
        <s v="More Composition"/>
        <s v="More Level"/>
        <s v="More Reaction Rate"/>
        <s v="More Flow"/>
        <s v="Other Than Ph"/>
        <s v="No Pressure"/>
        <s v="Late Flow"/>
        <s v="Early Temperature"/>
        <s v="As Well As Reaction Rate"/>
        <s v="Part Of Temperature"/>
        <s v="Other Than Flow"/>
        <s v="Unknown Deviation"/>
        <s v="Early Level"/>
        <s v="More Pressure"/>
        <s v="As Well As Temperature"/>
        <s v="Other Than Level"/>
        <s v="Less Ph"/>
        <s v="As Well As Ph"/>
        <s v="Other Than Pressure"/>
        <s v="Reverse Temperature"/>
        <s v="No Ph"/>
        <s v="Other Than Temperature"/>
        <s v="Early Pressure"/>
        <s v="Part Of Pressure"/>
        <s v="Late Composition"/>
        <s v="Reverse Flow"/>
        <s v="Less Composition"/>
        <s v="No Reaction Rate"/>
        <s v="Reverse Ph"/>
        <s v="Late Ph"/>
        <s v="Less Temperature"/>
        <s v="Part Of Ph"/>
        <s v="Other Than Composition"/>
        <s v="Reverse Reaction Rate"/>
        <s v="Late Temperature"/>
        <s v="Early Reaction Rate"/>
        <s v="Early Ph"/>
        <s v="Early Composition"/>
        <s v="Late Reaction Rate"/>
        <s v="Other Than Reaction Rate"/>
        <s v="No Level"/>
        <s v="Less Flow"/>
      </sharedItems>
    </cacheField>
    <cacheField name="Cause" numFmtId="0">
      <sharedItems count="13">
        <s v="Blockage In Line"/>
        <s v="Control Loop Failure"/>
        <s v="Pump Failure"/>
        <s v="Wrong Valve Alignment"/>
        <s v="Valve Closed Inadvertently"/>
        <s v="Utility Failure"/>
        <s v="Instrument Malfunction"/>
        <s v="Operator Error"/>
        <s v="Power Failure"/>
        <s v="Excessive Feed Rate"/>
        <s v="Cooling Water Loss"/>
        <s v="Not Specified"/>
        <s v="Corrosion Of Pipeline"/>
      </sharedItems>
    </cacheField>
    <cacheField name="Consequence" numFmtId="0">
      <sharedItems/>
    </cacheField>
    <cacheField name="Safeguard" numFmtId="0">
      <sharedItems/>
    </cacheField>
    <cacheField name="Severity" numFmtId="0">
      <sharedItems containsString="0" containsBlank="1" containsNumber="1" containsInteger="1" minValue="1" maxValue="5" count="6">
        <n v="1"/>
        <n v="2"/>
        <n v="3"/>
        <n v="5"/>
        <m/>
        <n v="4"/>
      </sharedItems>
    </cacheField>
    <cacheField name="Likelihood" numFmtId="0">
      <sharedItems containsString="0" containsBlank="1" containsNumber="1" containsInteger="1" minValue="1" maxValue="5"/>
    </cacheField>
    <cacheField name="Risk Rating" numFmtId="0">
      <sharedItems containsString="0" containsBlank="1" containsNumber="1" containsInteger="1" minValue="1" maxValue="25"/>
    </cacheField>
    <cacheField name="Recommended Action" numFmtId="0">
      <sharedItems count="7">
        <s v="Upgrade Instrumentation"/>
        <s v="No Action Required"/>
        <s v="Not Specified"/>
        <s v="Add High-Level Alarm"/>
        <s v="Install Additional Prv"/>
        <s v="Conduct Refresher Training"/>
        <s v="Review Sop"/>
      </sharedItems>
    </cacheField>
    <cacheField name="Responsible Team" numFmtId="0">
      <sharedItems count="4">
        <s v="Operations"/>
        <s v="Process Safety"/>
        <s v="Maintenance"/>
        <s v="Not Documented"/>
      </sharedItems>
    </cacheField>
    <cacheField name="Status" numFmtId="0">
      <sharedItems count="6">
        <s v="In Progress"/>
        <s v="Closed"/>
        <s v="Open"/>
        <s v="Pending"/>
        <s v="Status Not Documented"/>
        <s v="In-Progress" u="1"/>
      </sharedItems>
    </cacheField>
  </cacheFields>
  <extLst>
    <ext xmlns:x14="http://schemas.microsoft.com/office/spreadsheetml/2009/9/main" uri="{725AE2AE-9491-48be-B2B4-4EB974FC3084}">
      <x14:pivotCacheDefinition pivotCacheId="14483238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4">
  <r>
    <n v="1127"/>
    <x v="0"/>
    <n v="2024"/>
    <n v="1"/>
    <x v="0"/>
    <s v="Friday"/>
    <x v="0"/>
    <x v="0"/>
    <s v="Part Of"/>
    <x v="0"/>
    <x v="0"/>
    <s v="Overpressure Of Vessel"/>
    <s v="Emergency Shutdown (Esd)"/>
    <x v="0"/>
    <n v="5"/>
    <n v="5"/>
    <x v="0"/>
    <x v="0"/>
    <x v="0"/>
  </r>
  <r>
    <n v="1023"/>
    <x v="1"/>
    <n v="2024"/>
    <n v="3"/>
    <x v="1"/>
    <s v="Tuesday"/>
    <x v="1"/>
    <x v="1"/>
    <s v="More"/>
    <x v="1"/>
    <x v="1"/>
    <s v="Fire Hazard"/>
    <s v="High Level Alarm"/>
    <x v="1"/>
    <n v="1"/>
    <n v="2"/>
    <x v="1"/>
    <x v="1"/>
    <x v="1"/>
  </r>
  <r>
    <n v="1012"/>
    <x v="2"/>
    <n v="2024"/>
    <n v="2"/>
    <x v="2"/>
    <s v="Thursday"/>
    <x v="2"/>
    <x v="2"/>
    <s v="As Well As"/>
    <x v="2"/>
    <x v="2"/>
    <s v="Loss Of Containment"/>
    <s v="Operator Training"/>
    <x v="2"/>
    <n v="1"/>
    <n v="3"/>
    <x v="2"/>
    <x v="1"/>
    <x v="2"/>
  </r>
  <r>
    <n v="1157"/>
    <x v="3"/>
    <n v="2023"/>
    <n v="4"/>
    <x v="3"/>
    <s v="Sunday"/>
    <x v="3"/>
    <x v="3"/>
    <s v="No"/>
    <x v="3"/>
    <x v="3"/>
    <s v="Vessel Overflow"/>
    <s v="Prv"/>
    <x v="0"/>
    <n v="1"/>
    <n v="1"/>
    <x v="3"/>
    <x v="2"/>
    <x v="2"/>
  </r>
  <r>
    <n v="1003"/>
    <x v="4"/>
    <n v="2023"/>
    <n v="1"/>
    <x v="0"/>
    <s v="Saturday"/>
    <x v="0"/>
    <x v="2"/>
    <s v="Less"/>
    <x v="4"/>
    <x v="4"/>
    <s v="Runaway Reaction"/>
    <s v="Operator Training"/>
    <x v="0"/>
    <m/>
    <m/>
    <x v="4"/>
    <x v="1"/>
    <x v="3"/>
  </r>
  <r>
    <n v="1026"/>
    <x v="5"/>
    <n v="2024"/>
    <n v="2"/>
    <x v="2"/>
    <s v="Tuesday"/>
    <x v="4"/>
    <x v="0"/>
    <s v="Less"/>
    <x v="5"/>
    <x v="2"/>
    <s v="Vessel Overflow"/>
    <s v="N/A"/>
    <x v="0"/>
    <n v="5"/>
    <n v="5"/>
    <x v="3"/>
    <x v="0"/>
    <x v="0"/>
  </r>
  <r>
    <n v="1098"/>
    <x v="6"/>
    <n v="2023"/>
    <n v="3"/>
    <x v="1"/>
    <s v="Wednesday"/>
    <x v="5"/>
    <x v="3"/>
    <s v="Part Of"/>
    <x v="6"/>
    <x v="2"/>
    <s v="Overpressure Of Vessel"/>
    <s v="N/A"/>
    <x v="3"/>
    <n v="5"/>
    <n v="25"/>
    <x v="4"/>
    <x v="1"/>
    <x v="1"/>
  </r>
  <r>
    <n v="1067"/>
    <x v="7"/>
    <n v="2024"/>
    <n v="4"/>
    <x v="3"/>
    <s v="Monday"/>
    <x v="6"/>
    <x v="4"/>
    <s v="Less"/>
    <x v="7"/>
    <x v="1"/>
    <s v="Loss Of Containment"/>
    <s v="Regular Maintenance"/>
    <x v="0"/>
    <n v="1"/>
    <n v="1"/>
    <x v="1"/>
    <x v="1"/>
    <x v="1"/>
  </r>
  <r>
    <n v="1064"/>
    <x v="8"/>
    <n v="2024"/>
    <n v="2"/>
    <x v="4"/>
    <s v="Saturday"/>
    <x v="7"/>
    <x v="2"/>
    <s v="Part Of"/>
    <x v="8"/>
    <x v="0"/>
    <s v="Toxic Release"/>
    <s v="N/A"/>
    <x v="2"/>
    <m/>
    <m/>
    <x v="4"/>
    <x v="1"/>
    <x v="0"/>
  </r>
  <r>
    <n v="1079"/>
    <x v="9"/>
    <n v="2024"/>
    <n v="4"/>
    <x v="5"/>
    <s v="Tuesday"/>
    <x v="8"/>
    <x v="3"/>
    <s v="Early"/>
    <x v="9"/>
    <x v="5"/>
    <s v="Explosion Risk"/>
    <s v="Pressure Relief Valve"/>
    <x v="3"/>
    <n v="1"/>
    <n v="5"/>
    <x v="0"/>
    <x v="0"/>
    <x v="1"/>
  </r>
  <r>
    <n v="1100"/>
    <x v="10"/>
    <n v="2024"/>
    <n v="1"/>
    <x v="6"/>
    <s v="Thursday"/>
    <x v="8"/>
    <x v="5"/>
    <s v="More"/>
    <x v="10"/>
    <x v="1"/>
    <s v="Loss Of Containment"/>
    <s v="Operator Training"/>
    <x v="4"/>
    <n v="3"/>
    <m/>
    <x v="1"/>
    <x v="1"/>
    <x v="0"/>
  </r>
  <r>
    <n v="1109"/>
    <x v="11"/>
    <n v="2024"/>
    <n v="3"/>
    <x v="1"/>
    <s v="Sunday"/>
    <x v="7"/>
    <x v="6"/>
    <s v="Late"/>
    <x v="11"/>
    <x v="6"/>
    <s v="Toxic Release"/>
    <s v="Redundant Instrumentation"/>
    <x v="3"/>
    <n v="3"/>
    <n v="15"/>
    <x v="0"/>
    <x v="2"/>
    <x v="1"/>
  </r>
  <r>
    <n v="1066"/>
    <x v="12"/>
    <n v="2023"/>
    <n v="3"/>
    <x v="1"/>
    <s v="Wednesday"/>
    <x v="9"/>
    <x v="6"/>
    <s v="More"/>
    <x v="11"/>
    <x v="7"/>
    <s v="Explosion Risk"/>
    <s v="Emergency Shutdown (Esd)"/>
    <x v="3"/>
    <n v="1"/>
    <n v="5"/>
    <x v="4"/>
    <x v="1"/>
    <x v="0"/>
  </r>
  <r>
    <n v="1154"/>
    <x v="13"/>
    <n v="2024"/>
    <n v="1"/>
    <x v="7"/>
    <s v="Friday"/>
    <x v="10"/>
    <x v="5"/>
    <s v="No"/>
    <x v="12"/>
    <x v="8"/>
    <s v="High Temperature Excursion"/>
    <s v="Prv"/>
    <x v="3"/>
    <n v="3"/>
    <n v="15"/>
    <x v="1"/>
    <x v="0"/>
    <x v="0"/>
  </r>
  <r>
    <n v="1161"/>
    <x v="14"/>
    <n v="2023"/>
    <n v="4"/>
    <x v="8"/>
    <s v="Saturday"/>
    <x v="8"/>
    <x v="7"/>
    <s v="More"/>
    <x v="13"/>
    <x v="7"/>
    <s v="Vessel Overflow"/>
    <s v="Interlock System"/>
    <x v="2"/>
    <n v="3"/>
    <n v="9"/>
    <x v="1"/>
    <x v="0"/>
    <x v="2"/>
  </r>
  <r>
    <n v="1025"/>
    <x v="15"/>
    <n v="2023"/>
    <n v="4"/>
    <x v="3"/>
    <s v="Monday"/>
    <x v="11"/>
    <x v="2"/>
    <s v="More"/>
    <x v="14"/>
    <x v="9"/>
    <s v="Explosion Risk"/>
    <s v="Interlock System"/>
    <x v="1"/>
    <n v="1"/>
    <n v="2"/>
    <x v="5"/>
    <x v="0"/>
    <x v="0"/>
  </r>
  <r>
    <n v="1159"/>
    <x v="16"/>
    <n v="2024"/>
    <n v="4"/>
    <x v="3"/>
    <s v="Friday"/>
    <x v="12"/>
    <x v="0"/>
    <s v="More"/>
    <x v="15"/>
    <x v="5"/>
    <s v="Product Off-Spec"/>
    <s v="Emergency Shutdown (Esd)"/>
    <x v="1"/>
    <n v="5"/>
    <n v="10"/>
    <x v="2"/>
    <x v="1"/>
    <x v="2"/>
  </r>
  <r>
    <n v="1047"/>
    <x v="17"/>
    <n v="2023"/>
    <n v="1"/>
    <x v="0"/>
    <s v="Friday"/>
    <x v="5"/>
    <x v="3"/>
    <s v="Part Of"/>
    <x v="6"/>
    <x v="7"/>
    <s v="High Temperature Excursion"/>
    <s v="High Level Alarm"/>
    <x v="2"/>
    <n v="5"/>
    <n v="15"/>
    <x v="4"/>
    <x v="2"/>
    <x v="1"/>
  </r>
  <r>
    <n v="1005"/>
    <x v="18"/>
    <n v="2023"/>
    <n v="1"/>
    <x v="6"/>
    <s v="Sunday"/>
    <x v="0"/>
    <x v="3"/>
    <s v="More"/>
    <x v="16"/>
    <x v="0"/>
    <s v="Consequence Not Recorded"/>
    <s v="Prv"/>
    <x v="0"/>
    <n v="1"/>
    <n v="1"/>
    <x v="5"/>
    <x v="1"/>
    <x v="1"/>
  </r>
  <r>
    <n v="1018"/>
    <x v="19"/>
    <n v="2024"/>
    <n v="2"/>
    <x v="4"/>
    <s v="Sunday"/>
    <x v="0"/>
    <x v="1"/>
    <s v="Other Than"/>
    <x v="17"/>
    <x v="3"/>
    <s v="High Temperature Excursion"/>
    <s v="Safeguard Not Documented"/>
    <x v="1"/>
    <n v="1"/>
    <n v="2"/>
    <x v="5"/>
    <x v="1"/>
    <x v="0"/>
  </r>
  <r>
    <n v="1147"/>
    <x v="20"/>
    <n v="2023"/>
    <n v="4"/>
    <x v="8"/>
    <s v="Friday"/>
    <x v="12"/>
    <x v="0"/>
    <s v="More"/>
    <x v="15"/>
    <x v="10"/>
    <s v="Product Off-Spec"/>
    <s v="High Level Alarm"/>
    <x v="0"/>
    <n v="1"/>
    <n v="1"/>
    <x v="1"/>
    <x v="2"/>
    <x v="0"/>
  </r>
  <r>
    <n v="1075"/>
    <x v="21"/>
    <n v="2023"/>
    <n v="1"/>
    <x v="6"/>
    <s v="Saturday"/>
    <x v="13"/>
    <x v="2"/>
    <s v="More"/>
    <x v="14"/>
    <x v="2"/>
    <s v="Fire Hazard"/>
    <s v="Operator Training"/>
    <x v="1"/>
    <n v="1"/>
    <n v="2"/>
    <x v="1"/>
    <x v="0"/>
    <x v="1"/>
  </r>
  <r>
    <n v="1013"/>
    <x v="22"/>
    <n v="2023"/>
    <n v="4"/>
    <x v="3"/>
    <s v="Monday"/>
    <x v="10"/>
    <x v="3"/>
    <s v="More"/>
    <x v="16"/>
    <x v="7"/>
    <s v="Fire Hazard"/>
    <s v="Safeguard Not Documented"/>
    <x v="2"/>
    <n v="3"/>
    <n v="9"/>
    <x v="2"/>
    <x v="0"/>
    <x v="2"/>
  </r>
  <r>
    <n v="1133"/>
    <x v="23"/>
    <n v="2024"/>
    <n v="2"/>
    <x v="4"/>
    <s v="Friday"/>
    <x v="10"/>
    <x v="4"/>
    <s v="No"/>
    <x v="18"/>
    <x v="7"/>
    <s v="Overpressure Of Vessel"/>
    <s v="Emergency Shutdown (Esd)"/>
    <x v="2"/>
    <n v="5"/>
    <n v="15"/>
    <x v="4"/>
    <x v="3"/>
    <x v="0"/>
  </r>
  <r>
    <n v="1095"/>
    <x v="24"/>
    <n v="2023"/>
    <n v="1"/>
    <x v="6"/>
    <s v="Wednesday"/>
    <x v="0"/>
    <x v="3"/>
    <s v="Not Specified"/>
    <x v="11"/>
    <x v="11"/>
    <s v="Toxic Release"/>
    <s v="High Level Alarm"/>
    <x v="0"/>
    <n v="2"/>
    <n v="2"/>
    <x v="5"/>
    <x v="1"/>
    <x v="0"/>
  </r>
  <r>
    <n v="1117"/>
    <x v="25"/>
    <n v="2024"/>
    <n v="1"/>
    <x v="6"/>
    <s v="Monday"/>
    <x v="11"/>
    <x v="6"/>
    <s v="More"/>
    <x v="11"/>
    <x v="5"/>
    <s v="Fire Hazard"/>
    <s v="Pressure Relief Valve"/>
    <x v="3"/>
    <n v="3"/>
    <n v="15"/>
    <x v="0"/>
    <x v="0"/>
    <x v="2"/>
  </r>
  <r>
    <n v="1004"/>
    <x v="26"/>
    <n v="2023"/>
    <n v="3"/>
    <x v="9"/>
    <s v="Sunday"/>
    <x v="1"/>
    <x v="3"/>
    <s v="Late"/>
    <x v="19"/>
    <x v="12"/>
    <s v="Loss Of Containment"/>
    <s v="Prv"/>
    <x v="0"/>
    <m/>
    <m/>
    <x v="1"/>
    <x v="0"/>
    <x v="3"/>
  </r>
  <r>
    <n v="1058"/>
    <x v="27"/>
    <n v="2024"/>
    <n v="1"/>
    <x v="0"/>
    <s v="Thursday"/>
    <x v="7"/>
    <x v="5"/>
    <s v="Early"/>
    <x v="20"/>
    <x v="7"/>
    <s v="Fire Hazard"/>
    <s v="Redundant Instrumentation"/>
    <x v="2"/>
    <n v="4"/>
    <n v="12"/>
    <x v="4"/>
    <x v="2"/>
    <x v="2"/>
  </r>
  <r>
    <n v="1110"/>
    <x v="28"/>
    <n v="2023"/>
    <n v="2"/>
    <x v="2"/>
    <s v="Monday"/>
    <x v="6"/>
    <x v="0"/>
    <s v="As Well As"/>
    <x v="21"/>
    <x v="1"/>
    <s v="Product Off-Spec"/>
    <s v="Redundant Instrumentation"/>
    <x v="3"/>
    <n v="2"/>
    <n v="10"/>
    <x v="6"/>
    <x v="0"/>
    <x v="0"/>
  </r>
  <r>
    <n v="1167"/>
    <x v="29"/>
    <n v="2023"/>
    <n v="1"/>
    <x v="6"/>
    <s v="Sunday"/>
    <x v="13"/>
    <x v="5"/>
    <s v="Part Of"/>
    <x v="22"/>
    <x v="4"/>
    <s v="Vessel Overflow"/>
    <s v="High Level Alarm"/>
    <x v="1"/>
    <n v="1"/>
    <n v="2"/>
    <x v="1"/>
    <x v="0"/>
    <x v="3"/>
  </r>
  <r>
    <n v="1019"/>
    <x v="24"/>
    <n v="2023"/>
    <n v="1"/>
    <x v="6"/>
    <s v="Wednesday"/>
    <x v="6"/>
    <x v="3"/>
    <s v="Late"/>
    <x v="19"/>
    <x v="0"/>
    <s v="Overpressure Of Vessel"/>
    <s v="N/A"/>
    <x v="3"/>
    <m/>
    <m/>
    <x v="4"/>
    <x v="2"/>
    <x v="3"/>
  </r>
  <r>
    <n v="1130"/>
    <x v="30"/>
    <n v="2023"/>
    <n v="2"/>
    <x v="4"/>
    <s v="Saturday"/>
    <x v="7"/>
    <x v="3"/>
    <s v="More"/>
    <x v="16"/>
    <x v="2"/>
    <s v="Runaway Reaction"/>
    <s v="N/A"/>
    <x v="4"/>
    <n v="3"/>
    <m/>
    <x v="1"/>
    <x v="0"/>
    <x v="3"/>
  </r>
  <r>
    <n v="1010"/>
    <x v="31"/>
    <n v="2024"/>
    <n v="3"/>
    <x v="1"/>
    <s v="Saturday"/>
    <x v="10"/>
    <x v="3"/>
    <s v="Other Than"/>
    <x v="23"/>
    <x v="12"/>
    <s v="Fire Hazard"/>
    <s v="N/A"/>
    <x v="0"/>
    <n v="1"/>
    <n v="1"/>
    <x v="1"/>
    <x v="1"/>
    <x v="0"/>
  </r>
  <r>
    <n v="1083"/>
    <x v="32"/>
    <n v="2023"/>
    <n v="2"/>
    <x v="4"/>
    <s v="Sunday"/>
    <x v="9"/>
    <x v="3"/>
    <s v="Not Specified"/>
    <x v="24"/>
    <x v="9"/>
    <s v="Fire Hazard"/>
    <s v="Redundant Instrumentation"/>
    <x v="2"/>
    <n v="1"/>
    <n v="3"/>
    <x v="1"/>
    <x v="3"/>
    <x v="0"/>
  </r>
  <r>
    <n v="1121"/>
    <x v="33"/>
    <n v="2023"/>
    <n v="4"/>
    <x v="3"/>
    <s v="Monday"/>
    <x v="3"/>
    <x v="3"/>
    <s v="No"/>
    <x v="3"/>
    <x v="6"/>
    <s v="Equipment Damage"/>
    <s v="N/A"/>
    <x v="2"/>
    <n v="1"/>
    <n v="3"/>
    <x v="0"/>
    <x v="1"/>
    <x v="2"/>
  </r>
  <r>
    <n v="1140"/>
    <x v="34"/>
    <n v="2023"/>
    <n v="1"/>
    <x v="6"/>
    <s v="Thursday"/>
    <x v="11"/>
    <x v="0"/>
    <s v="Part Of"/>
    <x v="0"/>
    <x v="7"/>
    <s v="Environmental Release"/>
    <s v="High Level Alarm"/>
    <x v="4"/>
    <n v="3"/>
    <m/>
    <x v="1"/>
    <x v="2"/>
    <x v="1"/>
  </r>
  <r>
    <n v="1129"/>
    <x v="35"/>
    <n v="2023"/>
    <n v="4"/>
    <x v="8"/>
    <s v="Tuesday"/>
    <x v="13"/>
    <x v="2"/>
    <s v="Early"/>
    <x v="25"/>
    <x v="7"/>
    <s v="Fire Hazard"/>
    <s v="N/A"/>
    <x v="2"/>
    <n v="3"/>
    <n v="9"/>
    <x v="4"/>
    <x v="1"/>
    <x v="3"/>
  </r>
  <r>
    <n v="1061"/>
    <x v="36"/>
    <n v="2023"/>
    <n v="2"/>
    <x v="4"/>
    <s v="Friday"/>
    <x v="13"/>
    <x v="4"/>
    <s v="More"/>
    <x v="26"/>
    <x v="8"/>
    <s v="Consequence Not Recorded"/>
    <s v="Redundant Instrumentation"/>
    <x v="4"/>
    <n v="3"/>
    <m/>
    <x v="2"/>
    <x v="0"/>
    <x v="2"/>
  </r>
  <r>
    <n v="1142"/>
    <x v="37"/>
    <n v="2024"/>
    <n v="1"/>
    <x v="0"/>
    <s v="Monday"/>
    <x v="0"/>
    <x v="5"/>
    <s v="More"/>
    <x v="10"/>
    <x v="5"/>
    <s v="Toxic Release"/>
    <s v="Redundant Instrumentation"/>
    <x v="1"/>
    <n v="1"/>
    <n v="2"/>
    <x v="1"/>
    <x v="1"/>
    <x v="1"/>
  </r>
  <r>
    <n v="1028"/>
    <x v="38"/>
    <n v="2023"/>
    <n v="1"/>
    <x v="7"/>
    <s v="Friday"/>
    <x v="11"/>
    <x v="3"/>
    <s v="More"/>
    <x v="16"/>
    <x v="9"/>
    <s v="Loss Of Containment"/>
    <s v="Operator Training"/>
    <x v="3"/>
    <n v="5"/>
    <n v="25"/>
    <x v="5"/>
    <x v="0"/>
    <x v="1"/>
  </r>
  <r>
    <n v="1041"/>
    <x v="39"/>
    <n v="2024"/>
    <n v="1"/>
    <x v="6"/>
    <s v="Wednesday"/>
    <x v="5"/>
    <x v="3"/>
    <s v="More"/>
    <x v="16"/>
    <x v="10"/>
    <s v="Equipment Damage"/>
    <s v="Emergency Shutdown (Esd)"/>
    <x v="0"/>
    <n v="3"/>
    <n v="3"/>
    <x v="4"/>
    <x v="0"/>
    <x v="0"/>
  </r>
  <r>
    <n v="1046"/>
    <x v="40"/>
    <n v="2024"/>
    <n v="2"/>
    <x v="10"/>
    <s v="Monday"/>
    <x v="5"/>
    <x v="5"/>
    <s v="As Well As"/>
    <x v="27"/>
    <x v="11"/>
    <s v="Fire Hazard"/>
    <s v="Operator Training"/>
    <x v="2"/>
    <n v="3"/>
    <n v="9"/>
    <x v="6"/>
    <x v="2"/>
    <x v="2"/>
  </r>
  <r>
    <n v="1146"/>
    <x v="41"/>
    <n v="2023"/>
    <n v="2"/>
    <x v="10"/>
    <s v="Monday"/>
    <x v="9"/>
    <x v="2"/>
    <s v="Other Than"/>
    <x v="28"/>
    <x v="0"/>
    <s v="Vessel Overflow"/>
    <s v="High Level Alarm"/>
    <x v="2"/>
    <m/>
    <m/>
    <x v="3"/>
    <x v="2"/>
    <x v="3"/>
  </r>
  <r>
    <n v="1032"/>
    <x v="42"/>
    <n v="2024"/>
    <n v="3"/>
    <x v="1"/>
    <s v="Saturday"/>
    <x v="0"/>
    <x v="6"/>
    <s v="More"/>
    <x v="11"/>
    <x v="8"/>
    <s v="Loss Of Containment"/>
    <s v="Safeguard Not Documented"/>
    <x v="3"/>
    <n v="5"/>
    <n v="25"/>
    <x v="4"/>
    <x v="2"/>
    <x v="1"/>
  </r>
  <r>
    <n v="1164"/>
    <x v="43"/>
    <n v="2024"/>
    <n v="2"/>
    <x v="2"/>
    <s v="Monday"/>
    <x v="1"/>
    <x v="6"/>
    <s v="No"/>
    <x v="24"/>
    <x v="2"/>
    <s v="Product Off-Spec"/>
    <s v="Regular Maintenance"/>
    <x v="2"/>
    <n v="2"/>
    <n v="6"/>
    <x v="3"/>
    <x v="2"/>
    <x v="1"/>
  </r>
  <r>
    <n v="1033"/>
    <x v="44"/>
    <n v="2024"/>
    <n v="4"/>
    <x v="3"/>
    <s v="Friday"/>
    <x v="3"/>
    <x v="1"/>
    <s v="Less"/>
    <x v="29"/>
    <x v="9"/>
    <s v="Equipment Damage"/>
    <s v="Operator Training"/>
    <x v="4"/>
    <n v="5"/>
    <m/>
    <x v="1"/>
    <x v="3"/>
    <x v="0"/>
  </r>
  <r>
    <n v="1014"/>
    <x v="45"/>
    <n v="2024"/>
    <n v="1"/>
    <x v="7"/>
    <s v="Tuesday"/>
    <x v="7"/>
    <x v="1"/>
    <s v="As Well As"/>
    <x v="30"/>
    <x v="2"/>
    <s v="Runaway Reaction"/>
    <s v="High Level Alarm"/>
    <x v="3"/>
    <n v="4"/>
    <n v="20"/>
    <x v="4"/>
    <x v="0"/>
    <x v="2"/>
  </r>
  <r>
    <n v="1122"/>
    <x v="46"/>
    <n v="2024"/>
    <n v="4"/>
    <x v="3"/>
    <s v="Wednesday"/>
    <x v="5"/>
    <x v="5"/>
    <s v="Not Specified"/>
    <x v="24"/>
    <x v="4"/>
    <s v="Fire Hazard"/>
    <s v="Safeguard Not Documented"/>
    <x v="0"/>
    <m/>
    <m/>
    <x v="4"/>
    <x v="2"/>
    <x v="0"/>
  </r>
  <r>
    <n v="1029"/>
    <x v="47"/>
    <n v="2023"/>
    <n v="3"/>
    <x v="1"/>
    <s v="Saturday"/>
    <x v="13"/>
    <x v="4"/>
    <s v="Not Specified"/>
    <x v="11"/>
    <x v="3"/>
    <s v="Toxic Release"/>
    <s v="Safeguard Not Documented"/>
    <x v="5"/>
    <n v="3"/>
    <n v="12"/>
    <x v="3"/>
    <x v="0"/>
    <x v="1"/>
  </r>
  <r>
    <n v="1115"/>
    <x v="48"/>
    <n v="2023"/>
    <n v="2"/>
    <x v="2"/>
    <s v="Wednesday"/>
    <x v="11"/>
    <x v="6"/>
    <s v="More"/>
    <x v="11"/>
    <x v="3"/>
    <s v="Overpressure Of Vessel"/>
    <s v="Emergency Shutdown (Esd)"/>
    <x v="2"/>
    <n v="3"/>
    <n v="9"/>
    <x v="4"/>
    <x v="0"/>
    <x v="0"/>
  </r>
  <r>
    <n v="1166"/>
    <x v="49"/>
    <n v="2023"/>
    <n v="4"/>
    <x v="8"/>
    <s v="Monday"/>
    <x v="0"/>
    <x v="5"/>
    <s v="No"/>
    <x v="12"/>
    <x v="11"/>
    <s v="Runaway Reaction"/>
    <s v="Redundant Instrumentation"/>
    <x v="0"/>
    <n v="1"/>
    <n v="1"/>
    <x v="4"/>
    <x v="1"/>
    <x v="3"/>
  </r>
  <r>
    <n v="1155"/>
    <x v="50"/>
    <n v="2023"/>
    <n v="4"/>
    <x v="3"/>
    <s v="Thursday"/>
    <x v="8"/>
    <x v="4"/>
    <s v="No"/>
    <x v="18"/>
    <x v="10"/>
    <s v="High Temperature Excursion"/>
    <s v="Redundant Instrumentation"/>
    <x v="5"/>
    <n v="4"/>
    <n v="16"/>
    <x v="3"/>
    <x v="1"/>
    <x v="2"/>
  </r>
  <r>
    <n v="1097"/>
    <x v="51"/>
    <n v="2024"/>
    <n v="4"/>
    <x v="8"/>
    <s v="Sunday"/>
    <x v="8"/>
    <x v="6"/>
    <s v="More"/>
    <x v="24"/>
    <x v="12"/>
    <s v="Equipment Damage"/>
    <s v="Regular Maintenance"/>
    <x v="1"/>
    <n v="5"/>
    <n v="10"/>
    <x v="5"/>
    <x v="1"/>
    <x v="0"/>
  </r>
  <r>
    <n v="1059"/>
    <x v="52"/>
    <n v="2023"/>
    <n v="1"/>
    <x v="6"/>
    <s v="Saturday"/>
    <x v="6"/>
    <x v="4"/>
    <s v="Other Than"/>
    <x v="31"/>
    <x v="2"/>
    <s v="Overpressure Of Vessel"/>
    <s v="Pressure Relief Valve"/>
    <x v="5"/>
    <n v="4"/>
    <n v="16"/>
    <x v="1"/>
    <x v="0"/>
    <x v="4"/>
  </r>
  <r>
    <n v="1118"/>
    <x v="53"/>
    <n v="2023"/>
    <n v="2"/>
    <x v="2"/>
    <s v="Wednesday"/>
    <x v="7"/>
    <x v="1"/>
    <s v="More"/>
    <x v="1"/>
    <x v="5"/>
    <s v="Equipment Damage"/>
    <s v="Prv"/>
    <x v="1"/>
    <n v="5"/>
    <n v="10"/>
    <x v="3"/>
    <x v="0"/>
    <x v="0"/>
  </r>
  <r>
    <n v="1096"/>
    <x v="54"/>
    <n v="2023"/>
    <n v="1"/>
    <x v="7"/>
    <s v="Wednesday"/>
    <x v="2"/>
    <x v="5"/>
    <s v="Reverse"/>
    <x v="32"/>
    <x v="2"/>
    <s v="Consequence Not Recorded"/>
    <s v="Regular Maintenance"/>
    <x v="4"/>
    <n v="3"/>
    <m/>
    <x v="3"/>
    <x v="1"/>
    <x v="4"/>
  </r>
  <r>
    <n v="1037"/>
    <x v="55"/>
    <n v="2023"/>
    <n v="1"/>
    <x v="0"/>
    <s v="Friday"/>
    <x v="10"/>
    <x v="7"/>
    <s v="More"/>
    <x v="13"/>
    <x v="4"/>
    <s v="Vessel Overflow"/>
    <s v="Regular Maintenance"/>
    <x v="2"/>
    <n v="1"/>
    <n v="3"/>
    <x v="0"/>
    <x v="1"/>
    <x v="1"/>
  </r>
  <r>
    <n v="1086"/>
    <x v="56"/>
    <n v="2024"/>
    <n v="2"/>
    <x v="4"/>
    <s v="Thursday"/>
    <x v="0"/>
    <x v="5"/>
    <s v="No"/>
    <x v="12"/>
    <x v="11"/>
    <s v="Toxic Release"/>
    <s v="High Level Alarm"/>
    <x v="2"/>
    <n v="3"/>
    <n v="9"/>
    <x v="0"/>
    <x v="0"/>
    <x v="1"/>
  </r>
  <r>
    <n v="1052"/>
    <x v="57"/>
    <n v="2023"/>
    <n v="3"/>
    <x v="11"/>
    <s v="Monday"/>
    <x v="7"/>
    <x v="0"/>
    <s v="More"/>
    <x v="15"/>
    <x v="2"/>
    <s v="Loss Of Containment"/>
    <s v="Interlock System"/>
    <x v="2"/>
    <n v="1"/>
    <n v="3"/>
    <x v="3"/>
    <x v="0"/>
    <x v="1"/>
  </r>
  <r>
    <n v="1174"/>
    <x v="58"/>
    <n v="2024"/>
    <n v="3"/>
    <x v="1"/>
    <s v="Monday"/>
    <x v="0"/>
    <x v="1"/>
    <s v="Other Than"/>
    <x v="17"/>
    <x v="4"/>
    <s v="Equipment Damage"/>
    <s v="High Level Alarm"/>
    <x v="2"/>
    <n v="1"/>
    <n v="3"/>
    <x v="2"/>
    <x v="1"/>
    <x v="0"/>
  </r>
  <r>
    <n v="1073"/>
    <x v="59"/>
    <n v="2024"/>
    <n v="4"/>
    <x v="3"/>
    <s v="Thursday"/>
    <x v="3"/>
    <x v="1"/>
    <s v="No"/>
    <x v="33"/>
    <x v="5"/>
    <s v="Loss Of Containment"/>
    <s v="Safeguard Not Documented"/>
    <x v="0"/>
    <m/>
    <m/>
    <x v="6"/>
    <x v="0"/>
    <x v="0"/>
  </r>
  <r>
    <n v="1085"/>
    <x v="60"/>
    <n v="2024"/>
    <n v="2"/>
    <x v="4"/>
    <s v="Sunday"/>
    <x v="10"/>
    <x v="5"/>
    <s v="Other Than"/>
    <x v="34"/>
    <x v="4"/>
    <s v="Equipment Damage"/>
    <s v="Emergency Shutdown (Esd)"/>
    <x v="0"/>
    <n v="1"/>
    <n v="1"/>
    <x v="1"/>
    <x v="3"/>
    <x v="3"/>
  </r>
  <r>
    <n v="1171"/>
    <x v="42"/>
    <n v="2024"/>
    <n v="3"/>
    <x v="1"/>
    <s v="Saturday"/>
    <x v="13"/>
    <x v="4"/>
    <s v="Other Than"/>
    <x v="31"/>
    <x v="8"/>
    <s v="Runaway Reaction"/>
    <s v="Redundant Instrumentation"/>
    <x v="0"/>
    <n v="3"/>
    <n v="3"/>
    <x v="1"/>
    <x v="2"/>
    <x v="0"/>
  </r>
  <r>
    <n v="1099"/>
    <x v="61"/>
    <n v="2023"/>
    <n v="4"/>
    <x v="5"/>
    <s v="Thursday"/>
    <x v="5"/>
    <x v="6"/>
    <s v="No"/>
    <x v="11"/>
    <x v="3"/>
    <s v="Loss Of Containment"/>
    <s v="High Level Alarm"/>
    <x v="0"/>
    <n v="5"/>
    <n v="5"/>
    <x v="6"/>
    <x v="2"/>
    <x v="2"/>
  </r>
  <r>
    <n v="1038"/>
    <x v="62"/>
    <n v="2024"/>
    <n v="2"/>
    <x v="10"/>
    <s v="Saturday"/>
    <x v="4"/>
    <x v="6"/>
    <s v="Reverse"/>
    <x v="11"/>
    <x v="12"/>
    <s v="Environmental Release"/>
    <s v="Redundant Instrumentation"/>
    <x v="1"/>
    <n v="1"/>
    <n v="2"/>
    <x v="5"/>
    <x v="0"/>
    <x v="4"/>
  </r>
  <r>
    <n v="1156"/>
    <x v="63"/>
    <n v="2023"/>
    <n v="1"/>
    <x v="7"/>
    <s v="Thursday"/>
    <x v="0"/>
    <x v="2"/>
    <s v="Not Specified"/>
    <x v="11"/>
    <x v="7"/>
    <s v="Loss Of Containment"/>
    <s v="N/A"/>
    <x v="3"/>
    <n v="4"/>
    <n v="20"/>
    <x v="6"/>
    <x v="1"/>
    <x v="1"/>
  </r>
  <r>
    <n v="1114"/>
    <x v="64"/>
    <n v="2024"/>
    <n v="2"/>
    <x v="4"/>
    <s v="Sunday"/>
    <x v="6"/>
    <x v="4"/>
    <s v="More"/>
    <x v="26"/>
    <x v="2"/>
    <s v="Fire Hazard"/>
    <s v="Prv"/>
    <x v="5"/>
    <n v="5"/>
    <n v="20"/>
    <x v="5"/>
    <x v="2"/>
    <x v="2"/>
  </r>
  <r>
    <n v="1106"/>
    <x v="65"/>
    <n v="2023"/>
    <n v="2"/>
    <x v="4"/>
    <s v="Tuesday"/>
    <x v="11"/>
    <x v="4"/>
    <s v="Early"/>
    <x v="35"/>
    <x v="4"/>
    <s v="Vessel Overflow"/>
    <s v="N/A"/>
    <x v="4"/>
    <n v="3"/>
    <m/>
    <x v="4"/>
    <x v="1"/>
    <x v="4"/>
  </r>
  <r>
    <n v="1102"/>
    <x v="66"/>
    <n v="2024"/>
    <n v="2"/>
    <x v="4"/>
    <s v="Friday"/>
    <x v="11"/>
    <x v="4"/>
    <s v="Part Of"/>
    <x v="36"/>
    <x v="1"/>
    <s v="High Temperature Excursion"/>
    <s v="High Level Alarm"/>
    <x v="3"/>
    <n v="5"/>
    <n v="25"/>
    <x v="5"/>
    <x v="2"/>
    <x v="0"/>
  </r>
  <r>
    <n v="1050"/>
    <x v="67"/>
    <n v="2023"/>
    <n v="3"/>
    <x v="11"/>
    <s v="Saturday"/>
    <x v="8"/>
    <x v="0"/>
    <s v="More"/>
    <x v="15"/>
    <x v="12"/>
    <s v="Environmental Release"/>
    <s v="Redundant Instrumentation"/>
    <x v="2"/>
    <n v="5"/>
    <n v="15"/>
    <x v="1"/>
    <x v="0"/>
    <x v="2"/>
  </r>
  <r>
    <n v="1105"/>
    <x v="68"/>
    <n v="2023"/>
    <n v="3"/>
    <x v="9"/>
    <s v="Tuesday"/>
    <x v="11"/>
    <x v="3"/>
    <s v="Other Than"/>
    <x v="23"/>
    <x v="9"/>
    <s v="Loss Of Containment"/>
    <s v="Regular Maintenance"/>
    <x v="2"/>
    <n v="5"/>
    <n v="15"/>
    <x v="5"/>
    <x v="1"/>
    <x v="0"/>
  </r>
  <r>
    <n v="1006"/>
    <x v="69"/>
    <n v="2024"/>
    <n v="4"/>
    <x v="5"/>
    <s v="Sunday"/>
    <x v="1"/>
    <x v="6"/>
    <s v="Late"/>
    <x v="24"/>
    <x v="4"/>
    <s v="Product Off-Spec"/>
    <s v="High Level Alarm"/>
    <x v="2"/>
    <n v="5"/>
    <n v="15"/>
    <x v="6"/>
    <x v="0"/>
    <x v="3"/>
  </r>
  <r>
    <n v="1123"/>
    <x v="70"/>
    <n v="2024"/>
    <n v="2"/>
    <x v="4"/>
    <s v="Wednesday"/>
    <x v="12"/>
    <x v="1"/>
    <s v="Other Than"/>
    <x v="17"/>
    <x v="12"/>
    <s v="Product Off-Spec"/>
    <s v="Regular Maintenance"/>
    <x v="4"/>
    <n v="2"/>
    <m/>
    <x v="4"/>
    <x v="0"/>
    <x v="4"/>
  </r>
  <r>
    <n v="1175"/>
    <x v="71"/>
    <n v="2023"/>
    <n v="3"/>
    <x v="1"/>
    <s v="Saturday"/>
    <x v="8"/>
    <x v="7"/>
    <s v="Late"/>
    <x v="37"/>
    <x v="10"/>
    <s v="Consequence Not Recorded"/>
    <s v="Pressure Relief Valve"/>
    <x v="0"/>
    <n v="5"/>
    <n v="5"/>
    <x v="4"/>
    <x v="1"/>
    <x v="1"/>
  </r>
  <r>
    <n v="1002"/>
    <x v="72"/>
    <n v="2024"/>
    <n v="1"/>
    <x v="7"/>
    <s v="Monday"/>
    <x v="13"/>
    <x v="1"/>
    <s v="Not Specified"/>
    <x v="11"/>
    <x v="8"/>
    <s v="Product Off-Spec"/>
    <s v="Interlock System"/>
    <x v="0"/>
    <n v="1"/>
    <n v="1"/>
    <x v="4"/>
    <x v="2"/>
    <x v="3"/>
  </r>
  <r>
    <n v="1107"/>
    <x v="73"/>
    <n v="2024"/>
    <n v="3"/>
    <x v="9"/>
    <s v="Thursday"/>
    <x v="3"/>
    <x v="3"/>
    <s v="Reverse"/>
    <x v="38"/>
    <x v="4"/>
    <s v="Environmental Release"/>
    <s v="Prv"/>
    <x v="2"/>
    <m/>
    <m/>
    <x v="0"/>
    <x v="0"/>
    <x v="0"/>
  </r>
  <r>
    <n v="1087"/>
    <x v="74"/>
    <n v="2024"/>
    <n v="4"/>
    <x v="3"/>
    <s v="Tuesday"/>
    <x v="13"/>
    <x v="7"/>
    <s v="Less"/>
    <x v="39"/>
    <x v="6"/>
    <s v="Loss Of Containment"/>
    <s v="Emergency Shutdown (Esd)"/>
    <x v="1"/>
    <n v="5"/>
    <n v="10"/>
    <x v="4"/>
    <x v="3"/>
    <x v="1"/>
  </r>
  <r>
    <n v="1065"/>
    <x v="75"/>
    <n v="2024"/>
    <n v="1"/>
    <x v="7"/>
    <s v="Thursday"/>
    <x v="13"/>
    <x v="0"/>
    <s v="No"/>
    <x v="40"/>
    <x v="0"/>
    <s v="Fire Hazard"/>
    <s v="Operator Training"/>
    <x v="0"/>
    <n v="5"/>
    <n v="5"/>
    <x v="4"/>
    <x v="0"/>
    <x v="2"/>
  </r>
  <r>
    <n v="1042"/>
    <x v="76"/>
    <n v="2024"/>
    <n v="3"/>
    <x v="1"/>
    <s v="Saturday"/>
    <x v="6"/>
    <x v="0"/>
    <s v="More"/>
    <x v="15"/>
    <x v="8"/>
    <s v="Equipment Damage"/>
    <s v="Emergency Shutdown (Esd)"/>
    <x v="2"/>
    <n v="1"/>
    <n v="3"/>
    <x v="4"/>
    <x v="0"/>
    <x v="0"/>
  </r>
  <r>
    <n v="1053"/>
    <x v="2"/>
    <n v="2024"/>
    <n v="2"/>
    <x v="2"/>
    <s v="Thursday"/>
    <x v="0"/>
    <x v="1"/>
    <s v="Reverse"/>
    <x v="41"/>
    <x v="0"/>
    <s v="High Temperature Excursion"/>
    <s v="Emergency Shutdown (Esd)"/>
    <x v="2"/>
    <n v="5"/>
    <n v="15"/>
    <x v="2"/>
    <x v="0"/>
    <x v="0"/>
  </r>
  <r>
    <n v="1179"/>
    <x v="67"/>
    <n v="2023"/>
    <n v="3"/>
    <x v="11"/>
    <s v="Saturday"/>
    <x v="4"/>
    <x v="3"/>
    <s v="Late"/>
    <x v="19"/>
    <x v="0"/>
    <s v="Fire Hazard"/>
    <s v="Emergency Shutdown (Esd)"/>
    <x v="5"/>
    <n v="3"/>
    <n v="12"/>
    <x v="0"/>
    <x v="0"/>
    <x v="1"/>
  </r>
  <r>
    <n v="1082"/>
    <x v="77"/>
    <n v="2023"/>
    <n v="4"/>
    <x v="3"/>
    <s v="Monday"/>
    <x v="10"/>
    <x v="0"/>
    <s v="No"/>
    <x v="40"/>
    <x v="4"/>
    <s v="Vessel Overflow"/>
    <s v="High Level Alarm"/>
    <x v="3"/>
    <n v="1"/>
    <n v="5"/>
    <x v="1"/>
    <x v="2"/>
    <x v="0"/>
  </r>
  <r>
    <n v="1008"/>
    <x v="78"/>
    <n v="2023"/>
    <n v="2"/>
    <x v="4"/>
    <s v="Tuesday"/>
    <x v="4"/>
    <x v="1"/>
    <s v="Less"/>
    <x v="29"/>
    <x v="11"/>
    <s v="Consequence Not Recorded"/>
    <s v="Safeguard Not Documented"/>
    <x v="4"/>
    <n v="1"/>
    <m/>
    <x v="1"/>
    <x v="0"/>
    <x v="1"/>
  </r>
  <r>
    <n v="1062"/>
    <x v="23"/>
    <n v="2024"/>
    <n v="2"/>
    <x v="4"/>
    <s v="Friday"/>
    <x v="1"/>
    <x v="3"/>
    <s v="Reverse"/>
    <x v="38"/>
    <x v="10"/>
    <s v="Overpressure Of Vessel"/>
    <s v="Prv"/>
    <x v="2"/>
    <n v="3"/>
    <n v="9"/>
    <x v="6"/>
    <x v="0"/>
    <x v="0"/>
  </r>
  <r>
    <n v="1180"/>
    <x v="76"/>
    <n v="2024"/>
    <n v="3"/>
    <x v="1"/>
    <s v="Saturday"/>
    <x v="11"/>
    <x v="1"/>
    <s v="Late"/>
    <x v="42"/>
    <x v="2"/>
    <s v="Product Off-Spec"/>
    <s v="Pressure Relief Valve"/>
    <x v="3"/>
    <n v="3"/>
    <n v="15"/>
    <x v="4"/>
    <x v="3"/>
    <x v="2"/>
  </r>
  <r>
    <n v="1071"/>
    <x v="79"/>
    <n v="2023"/>
    <n v="3"/>
    <x v="11"/>
    <s v="Saturday"/>
    <x v="0"/>
    <x v="5"/>
    <s v="More"/>
    <x v="10"/>
    <x v="7"/>
    <s v="Loss Of Containment"/>
    <s v="Operator Training"/>
    <x v="3"/>
    <n v="4"/>
    <n v="20"/>
    <x v="0"/>
    <x v="3"/>
    <x v="3"/>
  </r>
  <r>
    <n v="1116"/>
    <x v="80"/>
    <n v="2024"/>
    <n v="2"/>
    <x v="10"/>
    <s v="Thursday"/>
    <x v="4"/>
    <x v="5"/>
    <s v="Less"/>
    <x v="43"/>
    <x v="12"/>
    <s v="Vessel Overflow"/>
    <s v="Emergency Shutdown (Esd)"/>
    <x v="0"/>
    <m/>
    <m/>
    <x v="3"/>
    <x v="0"/>
    <x v="4"/>
  </r>
  <r>
    <n v="1009"/>
    <x v="81"/>
    <n v="2023"/>
    <n v="1"/>
    <x v="7"/>
    <s v="Saturday"/>
    <x v="10"/>
    <x v="3"/>
    <s v="More"/>
    <x v="16"/>
    <x v="12"/>
    <s v="Explosion Risk"/>
    <s v="Safeguard Not Documented"/>
    <x v="2"/>
    <n v="1"/>
    <n v="3"/>
    <x v="4"/>
    <x v="0"/>
    <x v="3"/>
  </r>
  <r>
    <n v="1132"/>
    <x v="17"/>
    <n v="2023"/>
    <n v="1"/>
    <x v="0"/>
    <s v="Friday"/>
    <x v="7"/>
    <x v="1"/>
    <s v="Part Of"/>
    <x v="44"/>
    <x v="3"/>
    <s v="Product Off-Spec"/>
    <s v="Prv"/>
    <x v="3"/>
    <n v="4"/>
    <n v="20"/>
    <x v="2"/>
    <x v="0"/>
    <x v="4"/>
  </r>
  <r>
    <n v="1080"/>
    <x v="82"/>
    <n v="2024"/>
    <n v="3"/>
    <x v="11"/>
    <s v="Friday"/>
    <x v="10"/>
    <x v="3"/>
    <s v="No"/>
    <x v="3"/>
    <x v="3"/>
    <s v="Explosion Risk"/>
    <s v="N/A"/>
    <x v="3"/>
    <n v="4"/>
    <n v="20"/>
    <x v="4"/>
    <x v="0"/>
    <x v="4"/>
  </r>
  <r>
    <n v="1141"/>
    <x v="83"/>
    <n v="2023"/>
    <n v="2"/>
    <x v="4"/>
    <s v="Sunday"/>
    <x v="12"/>
    <x v="1"/>
    <s v="No"/>
    <x v="33"/>
    <x v="0"/>
    <s v="Runaway Reaction"/>
    <s v="Emergency Shutdown (Esd)"/>
    <x v="3"/>
    <n v="5"/>
    <n v="25"/>
    <x v="4"/>
    <x v="0"/>
    <x v="4"/>
  </r>
  <r>
    <n v="1134"/>
    <x v="84"/>
    <n v="2023"/>
    <n v="4"/>
    <x v="5"/>
    <s v="Saturday"/>
    <x v="11"/>
    <x v="2"/>
    <s v="Other Than"/>
    <x v="28"/>
    <x v="6"/>
    <s v="Loss Of Containment"/>
    <s v="High Level Alarm"/>
    <x v="1"/>
    <n v="1"/>
    <n v="2"/>
    <x v="6"/>
    <x v="1"/>
    <x v="4"/>
  </r>
  <r>
    <n v="1030"/>
    <x v="85"/>
    <n v="2024"/>
    <n v="2"/>
    <x v="10"/>
    <s v="Tuesday"/>
    <x v="3"/>
    <x v="5"/>
    <s v="More"/>
    <x v="10"/>
    <x v="2"/>
    <s v="Explosion Risk"/>
    <s v="High Level Alarm"/>
    <x v="0"/>
    <n v="1"/>
    <n v="1"/>
    <x v="1"/>
    <x v="0"/>
    <x v="0"/>
  </r>
  <r>
    <n v="1040"/>
    <x v="86"/>
    <n v="2023"/>
    <n v="1"/>
    <x v="6"/>
    <s v="Friday"/>
    <x v="10"/>
    <x v="5"/>
    <s v="Part Of"/>
    <x v="22"/>
    <x v="11"/>
    <s v="Overpressure Of Vessel"/>
    <s v="High Level Alarm"/>
    <x v="3"/>
    <n v="5"/>
    <n v="25"/>
    <x v="4"/>
    <x v="0"/>
    <x v="3"/>
  </r>
  <r>
    <n v="1051"/>
    <x v="87"/>
    <n v="2023"/>
    <n v="4"/>
    <x v="8"/>
    <s v="Saturday"/>
    <x v="3"/>
    <x v="5"/>
    <s v="Early"/>
    <x v="20"/>
    <x v="11"/>
    <s v="Fire Hazard"/>
    <s v="Regular Maintenance"/>
    <x v="3"/>
    <n v="3"/>
    <n v="15"/>
    <x v="4"/>
    <x v="2"/>
    <x v="1"/>
  </r>
  <r>
    <n v="1078"/>
    <x v="88"/>
    <n v="2023"/>
    <n v="4"/>
    <x v="5"/>
    <s v="Monday"/>
    <x v="0"/>
    <x v="0"/>
    <s v="No"/>
    <x v="40"/>
    <x v="6"/>
    <s v="Equipment Damage"/>
    <s v="Redundant Instrumentation"/>
    <x v="2"/>
    <n v="5"/>
    <n v="15"/>
    <x v="1"/>
    <x v="2"/>
    <x v="0"/>
  </r>
  <r>
    <n v="1170"/>
    <x v="89"/>
    <n v="2024"/>
    <n v="1"/>
    <x v="6"/>
    <s v="Tuesday"/>
    <x v="13"/>
    <x v="5"/>
    <s v="More"/>
    <x v="10"/>
    <x v="2"/>
    <s v="Loss Of Containment"/>
    <s v="Redundant Instrumentation"/>
    <x v="1"/>
    <n v="1"/>
    <n v="2"/>
    <x v="4"/>
    <x v="0"/>
    <x v="2"/>
  </r>
  <r>
    <n v="1165"/>
    <x v="90"/>
    <n v="2024"/>
    <n v="3"/>
    <x v="9"/>
    <s v="Tuesday"/>
    <x v="1"/>
    <x v="1"/>
    <s v="As Well As"/>
    <x v="30"/>
    <x v="12"/>
    <s v="Loss Of Containment"/>
    <s v="Emergency Shutdown (Esd)"/>
    <x v="0"/>
    <n v="2"/>
    <n v="2"/>
    <x v="6"/>
    <x v="2"/>
    <x v="3"/>
  </r>
  <r>
    <n v="1055"/>
    <x v="91"/>
    <n v="2023"/>
    <n v="2"/>
    <x v="2"/>
    <s v="Sunday"/>
    <x v="4"/>
    <x v="4"/>
    <s v="Less"/>
    <x v="7"/>
    <x v="2"/>
    <s v="Loss Of Containment"/>
    <s v="Regular Maintenance"/>
    <x v="3"/>
    <n v="4"/>
    <n v="20"/>
    <x v="2"/>
    <x v="3"/>
    <x v="1"/>
  </r>
  <r>
    <n v="1091"/>
    <x v="92"/>
    <n v="2024"/>
    <n v="2"/>
    <x v="10"/>
    <s v="Sunday"/>
    <x v="6"/>
    <x v="6"/>
    <s v="No"/>
    <x v="11"/>
    <x v="11"/>
    <s v="Vessel Overflow"/>
    <s v="N/A"/>
    <x v="3"/>
    <n v="1"/>
    <n v="5"/>
    <x v="5"/>
    <x v="0"/>
    <x v="4"/>
  </r>
  <r>
    <n v="1169"/>
    <x v="93"/>
    <n v="2023"/>
    <n v="4"/>
    <x v="5"/>
    <s v="Thursday"/>
    <x v="4"/>
    <x v="7"/>
    <s v="Other Than"/>
    <x v="45"/>
    <x v="7"/>
    <s v="Runaway Reaction"/>
    <s v="High Level Alarm"/>
    <x v="5"/>
    <n v="1"/>
    <n v="4"/>
    <x v="0"/>
    <x v="0"/>
    <x v="1"/>
  </r>
  <r>
    <n v="1044"/>
    <x v="94"/>
    <n v="2024"/>
    <n v="1"/>
    <x v="0"/>
    <s v="Wednesday"/>
    <x v="11"/>
    <x v="0"/>
    <s v="Reverse"/>
    <x v="46"/>
    <x v="0"/>
    <s v="Vessel Overflow"/>
    <s v="Safeguard Not Documented"/>
    <x v="0"/>
    <n v="3"/>
    <n v="3"/>
    <x v="2"/>
    <x v="0"/>
    <x v="0"/>
  </r>
  <r>
    <n v="1148"/>
    <x v="95"/>
    <n v="2024"/>
    <n v="2"/>
    <x v="2"/>
    <s v="Monday"/>
    <x v="4"/>
    <x v="0"/>
    <s v="Not Specified"/>
    <x v="11"/>
    <x v="10"/>
    <s v="Fire Hazard"/>
    <s v="Emergency Shutdown (Esd)"/>
    <x v="2"/>
    <n v="5"/>
    <n v="15"/>
    <x v="4"/>
    <x v="0"/>
    <x v="0"/>
  </r>
  <r>
    <n v="1158"/>
    <x v="96"/>
    <n v="2023"/>
    <n v="2"/>
    <x v="2"/>
    <s v="Friday"/>
    <x v="0"/>
    <x v="0"/>
    <s v="More"/>
    <x v="15"/>
    <x v="3"/>
    <s v="High Temperature Excursion"/>
    <s v="Interlock System"/>
    <x v="2"/>
    <n v="3"/>
    <n v="9"/>
    <x v="4"/>
    <x v="1"/>
    <x v="0"/>
  </r>
  <r>
    <n v="1060"/>
    <x v="97"/>
    <n v="2024"/>
    <n v="3"/>
    <x v="11"/>
    <s v="Wednesday"/>
    <x v="6"/>
    <x v="5"/>
    <s v="More"/>
    <x v="10"/>
    <x v="12"/>
    <s v="Explosion Risk"/>
    <s v="Redundant Instrumentation"/>
    <x v="5"/>
    <n v="5"/>
    <n v="20"/>
    <x v="3"/>
    <x v="0"/>
    <x v="2"/>
  </r>
  <r>
    <n v="1016"/>
    <x v="98"/>
    <n v="2024"/>
    <n v="3"/>
    <x v="9"/>
    <s v="Wednesday"/>
    <x v="7"/>
    <x v="5"/>
    <s v="More"/>
    <x v="10"/>
    <x v="7"/>
    <s v="Vessel Overflow"/>
    <s v="Safeguard Not Documented"/>
    <x v="5"/>
    <n v="1"/>
    <n v="4"/>
    <x v="3"/>
    <x v="1"/>
    <x v="2"/>
  </r>
  <r>
    <n v="1054"/>
    <x v="99"/>
    <n v="2024"/>
    <n v="3"/>
    <x v="1"/>
    <s v="Tuesday"/>
    <x v="11"/>
    <x v="5"/>
    <s v="Not Specified"/>
    <x v="11"/>
    <x v="7"/>
    <s v="Fire Hazard"/>
    <s v="Redundant Instrumentation"/>
    <x v="5"/>
    <n v="5"/>
    <n v="20"/>
    <x v="5"/>
    <x v="2"/>
    <x v="0"/>
  </r>
  <r>
    <n v="1021"/>
    <x v="29"/>
    <n v="2023"/>
    <n v="1"/>
    <x v="6"/>
    <s v="Sunday"/>
    <x v="1"/>
    <x v="3"/>
    <s v="More"/>
    <x v="16"/>
    <x v="7"/>
    <s v="Loss Of Containment"/>
    <s v="Redundant Instrumentation"/>
    <x v="3"/>
    <n v="2"/>
    <n v="10"/>
    <x v="3"/>
    <x v="2"/>
    <x v="2"/>
  </r>
  <r>
    <n v="1125"/>
    <x v="62"/>
    <n v="2024"/>
    <n v="2"/>
    <x v="10"/>
    <s v="Saturday"/>
    <x v="11"/>
    <x v="4"/>
    <s v="No"/>
    <x v="18"/>
    <x v="11"/>
    <s v="Vessel Overflow"/>
    <s v="Emergency Shutdown (Esd)"/>
    <x v="4"/>
    <n v="3"/>
    <m/>
    <x v="4"/>
    <x v="0"/>
    <x v="1"/>
  </r>
  <r>
    <n v="1077"/>
    <x v="100"/>
    <n v="2024"/>
    <n v="4"/>
    <x v="5"/>
    <s v="Wednesday"/>
    <x v="7"/>
    <x v="5"/>
    <s v="Late"/>
    <x v="47"/>
    <x v="1"/>
    <s v="Overpressure Of Vessel"/>
    <s v="Prv"/>
    <x v="4"/>
    <n v="5"/>
    <m/>
    <x v="0"/>
    <x v="0"/>
    <x v="0"/>
  </r>
  <r>
    <n v="1108"/>
    <x v="101"/>
    <n v="2023"/>
    <n v="1"/>
    <x v="6"/>
    <s v="Friday"/>
    <x v="7"/>
    <x v="0"/>
    <s v="No"/>
    <x v="40"/>
    <x v="2"/>
    <s v="Toxic Release"/>
    <s v="Interlock System"/>
    <x v="2"/>
    <n v="1"/>
    <n v="3"/>
    <x v="4"/>
    <x v="3"/>
    <x v="2"/>
  </r>
  <r>
    <n v="1163"/>
    <x v="102"/>
    <n v="2024"/>
    <n v="2"/>
    <x v="4"/>
    <s v="Saturday"/>
    <x v="7"/>
    <x v="6"/>
    <s v="Reverse"/>
    <x v="11"/>
    <x v="7"/>
    <s v="High Temperature Excursion"/>
    <s v="Regular Maintenance"/>
    <x v="5"/>
    <n v="4"/>
    <n v="16"/>
    <x v="0"/>
    <x v="2"/>
    <x v="1"/>
  </r>
  <r>
    <n v="1017"/>
    <x v="103"/>
    <n v="2023"/>
    <n v="1"/>
    <x v="7"/>
    <s v="Saturday"/>
    <x v="13"/>
    <x v="7"/>
    <s v="Not Specified"/>
    <x v="11"/>
    <x v="0"/>
    <s v="Vessel Overflow"/>
    <s v="Prv"/>
    <x v="3"/>
    <n v="3"/>
    <n v="15"/>
    <x v="3"/>
    <x v="1"/>
    <x v="1"/>
  </r>
  <r>
    <n v="1048"/>
    <x v="104"/>
    <n v="2024"/>
    <n v="1"/>
    <x v="7"/>
    <s v="Thursday"/>
    <x v="9"/>
    <x v="1"/>
    <s v="Part Of"/>
    <x v="44"/>
    <x v="9"/>
    <s v="Toxic Release"/>
    <s v="Prv"/>
    <x v="3"/>
    <m/>
    <m/>
    <x v="5"/>
    <x v="3"/>
    <x v="0"/>
  </r>
  <r>
    <n v="1151"/>
    <x v="105"/>
    <n v="2024"/>
    <n v="1"/>
    <x v="7"/>
    <s v="Sunday"/>
    <x v="2"/>
    <x v="0"/>
    <s v="Not Specified"/>
    <x v="11"/>
    <x v="11"/>
    <s v="Loss Of Containment"/>
    <s v="High Level Alarm"/>
    <x v="2"/>
    <n v="3"/>
    <n v="9"/>
    <x v="5"/>
    <x v="1"/>
    <x v="0"/>
  </r>
  <r>
    <n v="1120"/>
    <x v="106"/>
    <n v="2024"/>
    <n v="2"/>
    <x v="10"/>
    <s v="Sunday"/>
    <x v="7"/>
    <x v="0"/>
    <s v="Early"/>
    <x v="48"/>
    <x v="2"/>
    <s v="Loss Of Containment"/>
    <s v="Pressure Relief Valve"/>
    <x v="2"/>
    <n v="1"/>
    <n v="3"/>
    <x v="2"/>
    <x v="1"/>
    <x v="1"/>
  </r>
  <r>
    <n v="1022"/>
    <x v="107"/>
    <n v="2023"/>
    <n v="4"/>
    <x v="5"/>
    <s v="Monday"/>
    <x v="11"/>
    <x v="3"/>
    <s v="Not Specified"/>
    <x v="11"/>
    <x v="0"/>
    <s v="Runaway Reaction"/>
    <s v="Interlock System"/>
    <x v="2"/>
    <m/>
    <m/>
    <x v="1"/>
    <x v="1"/>
    <x v="0"/>
  </r>
  <r>
    <n v="1011"/>
    <x v="108"/>
    <n v="2024"/>
    <n v="1"/>
    <x v="6"/>
    <s v="Sunday"/>
    <x v="4"/>
    <x v="1"/>
    <s v="Other Than"/>
    <x v="17"/>
    <x v="7"/>
    <s v="Loss Of Containment"/>
    <s v="Pressure Relief Valve"/>
    <x v="1"/>
    <n v="3"/>
    <n v="6"/>
    <x v="4"/>
    <x v="0"/>
    <x v="2"/>
  </r>
  <r>
    <n v="1131"/>
    <x v="109"/>
    <n v="2024"/>
    <n v="2"/>
    <x v="10"/>
    <s v="Friday"/>
    <x v="9"/>
    <x v="0"/>
    <s v="More"/>
    <x v="15"/>
    <x v="2"/>
    <s v="Consequence Not Recorded"/>
    <s v="High Level Alarm"/>
    <x v="0"/>
    <m/>
    <m/>
    <x v="5"/>
    <x v="0"/>
    <x v="3"/>
  </r>
  <r>
    <n v="1031"/>
    <x v="110"/>
    <n v="2024"/>
    <n v="1"/>
    <x v="7"/>
    <s v="Wednesday"/>
    <x v="3"/>
    <x v="3"/>
    <s v="No"/>
    <x v="3"/>
    <x v="3"/>
    <s v="Fire Hazard"/>
    <s v="High Level Alarm"/>
    <x v="3"/>
    <n v="5"/>
    <n v="25"/>
    <x v="2"/>
    <x v="1"/>
    <x v="2"/>
  </r>
  <r>
    <n v="1034"/>
    <x v="94"/>
    <n v="2024"/>
    <n v="1"/>
    <x v="0"/>
    <s v="Wednesday"/>
    <x v="2"/>
    <x v="6"/>
    <s v="Less"/>
    <x v="11"/>
    <x v="7"/>
    <s v="Product Off-Spec"/>
    <s v="Pressure Relief Valve"/>
    <x v="5"/>
    <n v="3"/>
    <n v="12"/>
    <x v="2"/>
    <x v="0"/>
    <x v="1"/>
  </r>
  <r>
    <n v="1149"/>
    <x v="111"/>
    <n v="2024"/>
    <n v="2"/>
    <x v="2"/>
    <s v="Monday"/>
    <x v="2"/>
    <x v="0"/>
    <s v="Less"/>
    <x v="5"/>
    <x v="9"/>
    <s v="Vessel Overflow"/>
    <s v="Redundant Instrumentation"/>
    <x v="2"/>
    <n v="5"/>
    <n v="15"/>
    <x v="3"/>
    <x v="3"/>
    <x v="2"/>
  </r>
  <r>
    <n v="1172"/>
    <x v="84"/>
    <n v="2023"/>
    <n v="4"/>
    <x v="5"/>
    <s v="Saturday"/>
    <x v="13"/>
    <x v="1"/>
    <s v="Early"/>
    <x v="49"/>
    <x v="3"/>
    <s v="High Temperature Excursion"/>
    <s v="High Level Alarm"/>
    <x v="2"/>
    <n v="1"/>
    <n v="3"/>
    <x v="1"/>
    <x v="2"/>
    <x v="4"/>
  </r>
  <r>
    <n v="1001"/>
    <x v="112"/>
    <n v="2023"/>
    <n v="3"/>
    <x v="9"/>
    <s v="Friday"/>
    <x v="10"/>
    <x v="3"/>
    <s v="More"/>
    <x v="16"/>
    <x v="1"/>
    <s v="Environmental Release"/>
    <s v="Operator Training"/>
    <x v="2"/>
    <n v="3"/>
    <n v="9"/>
    <x v="4"/>
    <x v="2"/>
    <x v="4"/>
  </r>
  <r>
    <n v="1035"/>
    <x v="10"/>
    <n v="2024"/>
    <n v="1"/>
    <x v="6"/>
    <s v="Thursday"/>
    <x v="12"/>
    <x v="0"/>
    <s v="More"/>
    <x v="15"/>
    <x v="3"/>
    <s v="Vessel Overflow"/>
    <s v="High Level Alarm"/>
    <x v="4"/>
    <n v="5"/>
    <m/>
    <x v="4"/>
    <x v="0"/>
    <x v="0"/>
  </r>
  <r>
    <n v="1101"/>
    <x v="49"/>
    <n v="2023"/>
    <n v="4"/>
    <x v="8"/>
    <s v="Monday"/>
    <x v="6"/>
    <x v="7"/>
    <s v="Early"/>
    <x v="50"/>
    <x v="2"/>
    <s v="Loss Of Containment"/>
    <s v="High Level Alarm"/>
    <x v="2"/>
    <n v="1"/>
    <n v="3"/>
    <x v="2"/>
    <x v="1"/>
    <x v="1"/>
  </r>
  <r>
    <n v="1150"/>
    <x v="113"/>
    <n v="2024"/>
    <n v="3"/>
    <x v="11"/>
    <s v="Thursday"/>
    <x v="10"/>
    <x v="3"/>
    <s v="More"/>
    <x v="16"/>
    <x v="2"/>
    <s v="Consequence Not Recorded"/>
    <s v="Prv"/>
    <x v="2"/>
    <n v="1"/>
    <n v="3"/>
    <x v="3"/>
    <x v="1"/>
    <x v="4"/>
  </r>
  <r>
    <n v="1162"/>
    <x v="114"/>
    <n v="2023"/>
    <n v="2"/>
    <x v="4"/>
    <s v="Tuesday"/>
    <x v="3"/>
    <x v="4"/>
    <s v="Part Of"/>
    <x v="36"/>
    <x v="9"/>
    <s v="Product Off-Spec"/>
    <s v="Interlock System"/>
    <x v="3"/>
    <n v="4"/>
    <n v="20"/>
    <x v="4"/>
    <x v="3"/>
    <x v="0"/>
  </r>
  <r>
    <n v="1007"/>
    <x v="115"/>
    <n v="2024"/>
    <n v="3"/>
    <x v="1"/>
    <s v="Wednesday"/>
    <x v="5"/>
    <x v="7"/>
    <s v="Late"/>
    <x v="37"/>
    <x v="3"/>
    <s v="Product Off-Spec"/>
    <s v="Operator Training"/>
    <x v="2"/>
    <n v="2"/>
    <n v="6"/>
    <x v="1"/>
    <x v="3"/>
    <x v="1"/>
  </r>
  <r>
    <n v="1036"/>
    <x v="116"/>
    <n v="2023"/>
    <n v="3"/>
    <x v="1"/>
    <s v="Sunday"/>
    <x v="13"/>
    <x v="3"/>
    <s v="More"/>
    <x v="16"/>
    <x v="7"/>
    <s v="Consequence Not Recorded"/>
    <s v="Prv"/>
    <x v="5"/>
    <n v="5"/>
    <n v="20"/>
    <x v="0"/>
    <x v="0"/>
    <x v="1"/>
  </r>
  <r>
    <n v="1072"/>
    <x v="117"/>
    <n v="2023"/>
    <n v="1"/>
    <x v="7"/>
    <s v="Tuesday"/>
    <x v="12"/>
    <x v="6"/>
    <s v="Reverse"/>
    <x v="24"/>
    <x v="5"/>
    <s v="Loss Of Containment"/>
    <s v="Emergency Shutdown (Esd)"/>
    <x v="4"/>
    <n v="3"/>
    <m/>
    <x v="4"/>
    <x v="2"/>
    <x v="4"/>
  </r>
  <r>
    <n v="1020"/>
    <x v="118"/>
    <n v="2023"/>
    <n v="2"/>
    <x v="10"/>
    <s v="Tuesday"/>
    <x v="6"/>
    <x v="1"/>
    <s v="Not Specified"/>
    <x v="11"/>
    <x v="1"/>
    <s v="Product Off-Spec"/>
    <s v="Redundant Instrumentation"/>
    <x v="3"/>
    <n v="3"/>
    <n v="15"/>
    <x v="3"/>
    <x v="0"/>
    <x v="0"/>
  </r>
  <r>
    <n v="1094"/>
    <x v="119"/>
    <n v="2024"/>
    <n v="2"/>
    <x v="10"/>
    <s v="Tuesday"/>
    <x v="0"/>
    <x v="3"/>
    <s v="Reverse"/>
    <x v="38"/>
    <x v="7"/>
    <s v="Toxic Release"/>
    <s v="N/A"/>
    <x v="5"/>
    <n v="3"/>
    <n v="12"/>
    <x v="2"/>
    <x v="0"/>
    <x v="1"/>
  </r>
  <r>
    <n v="1160"/>
    <x v="120"/>
    <n v="2023"/>
    <n v="1"/>
    <x v="0"/>
    <s v="Sunday"/>
    <x v="3"/>
    <x v="6"/>
    <s v="Late"/>
    <x v="24"/>
    <x v="12"/>
    <s v="Runaway Reaction"/>
    <s v="High Level Alarm"/>
    <x v="0"/>
    <n v="5"/>
    <n v="5"/>
    <x v="1"/>
    <x v="0"/>
    <x v="0"/>
  </r>
  <r>
    <n v="1119"/>
    <x v="121"/>
    <n v="2024"/>
    <n v="1"/>
    <x v="0"/>
    <s v="Thursday"/>
    <x v="0"/>
    <x v="3"/>
    <s v="Reverse"/>
    <x v="38"/>
    <x v="6"/>
    <s v="Loss Of Containment"/>
    <s v="Operator Training"/>
    <x v="2"/>
    <n v="1"/>
    <n v="3"/>
    <x v="4"/>
    <x v="3"/>
    <x v="0"/>
  </r>
  <r>
    <n v="1145"/>
    <x v="122"/>
    <n v="2024"/>
    <n v="3"/>
    <x v="9"/>
    <s v="Tuesday"/>
    <x v="11"/>
    <x v="2"/>
    <s v="Other Than"/>
    <x v="28"/>
    <x v="8"/>
    <s v="Loss Of Containment"/>
    <s v="Safeguard Not Documented"/>
    <x v="3"/>
    <n v="1"/>
    <n v="5"/>
    <x v="5"/>
    <x v="0"/>
    <x v="0"/>
  </r>
  <r>
    <n v="1084"/>
    <x v="123"/>
    <n v="2024"/>
    <n v="3"/>
    <x v="1"/>
    <s v="Sunday"/>
    <x v="2"/>
    <x v="5"/>
    <s v="Late"/>
    <x v="47"/>
    <x v="2"/>
    <s v="Explosion Risk"/>
    <s v="Emergency Shutdown (Esd)"/>
    <x v="0"/>
    <m/>
    <m/>
    <x v="2"/>
    <x v="3"/>
    <x v="3"/>
  </r>
  <r>
    <n v="1088"/>
    <x v="20"/>
    <n v="2023"/>
    <n v="4"/>
    <x v="8"/>
    <s v="Friday"/>
    <x v="10"/>
    <x v="6"/>
    <s v="More"/>
    <x v="11"/>
    <x v="2"/>
    <s v="Vessel Overflow"/>
    <s v="Regular Maintenance"/>
    <x v="2"/>
    <n v="1"/>
    <n v="3"/>
    <x v="3"/>
    <x v="2"/>
    <x v="1"/>
  </r>
  <r>
    <n v="1138"/>
    <x v="124"/>
    <n v="2024"/>
    <n v="2"/>
    <x v="4"/>
    <s v="Wednesday"/>
    <x v="5"/>
    <x v="6"/>
    <s v="More"/>
    <x v="11"/>
    <x v="4"/>
    <s v="Explosion Risk"/>
    <s v="Redundant Instrumentation"/>
    <x v="3"/>
    <m/>
    <m/>
    <x v="1"/>
    <x v="2"/>
    <x v="2"/>
  </r>
  <r>
    <n v="1039"/>
    <x v="125"/>
    <n v="2023"/>
    <n v="3"/>
    <x v="11"/>
    <s v="Monday"/>
    <x v="12"/>
    <x v="0"/>
    <s v="Late"/>
    <x v="51"/>
    <x v="6"/>
    <s v="Fire Hazard"/>
    <s v="Emergency Shutdown (Esd)"/>
    <x v="0"/>
    <n v="1"/>
    <n v="1"/>
    <x v="4"/>
    <x v="3"/>
    <x v="0"/>
  </r>
  <r>
    <n v="1178"/>
    <x v="126"/>
    <n v="2024"/>
    <n v="1"/>
    <x v="7"/>
    <s v="Wednesday"/>
    <x v="5"/>
    <x v="5"/>
    <s v="Not Specified"/>
    <x v="24"/>
    <x v="4"/>
    <s v="Loss Of Containment"/>
    <s v="Interlock System"/>
    <x v="3"/>
    <n v="4"/>
    <n v="20"/>
    <x v="5"/>
    <x v="2"/>
    <x v="3"/>
  </r>
  <r>
    <n v="1113"/>
    <x v="69"/>
    <n v="2024"/>
    <n v="4"/>
    <x v="5"/>
    <s v="Sunday"/>
    <x v="1"/>
    <x v="3"/>
    <s v="Late"/>
    <x v="19"/>
    <x v="7"/>
    <s v="Product Off-Spec"/>
    <s v="Operator Training"/>
    <x v="2"/>
    <n v="5"/>
    <n v="15"/>
    <x v="4"/>
    <x v="0"/>
    <x v="0"/>
  </r>
  <r>
    <n v="1153"/>
    <x v="127"/>
    <n v="2023"/>
    <n v="3"/>
    <x v="9"/>
    <s v="Saturday"/>
    <x v="3"/>
    <x v="5"/>
    <s v="Not Specified"/>
    <x v="24"/>
    <x v="11"/>
    <s v="Environmental Release"/>
    <s v="Operator Training"/>
    <x v="5"/>
    <n v="5"/>
    <n v="20"/>
    <x v="0"/>
    <x v="0"/>
    <x v="0"/>
  </r>
  <r>
    <n v="1057"/>
    <x v="111"/>
    <n v="2024"/>
    <n v="2"/>
    <x v="2"/>
    <s v="Monday"/>
    <x v="10"/>
    <x v="4"/>
    <s v="More"/>
    <x v="26"/>
    <x v="10"/>
    <s v="Fire Hazard"/>
    <s v="Prv"/>
    <x v="2"/>
    <n v="1"/>
    <n v="3"/>
    <x v="3"/>
    <x v="1"/>
    <x v="3"/>
  </r>
  <r>
    <n v="1070"/>
    <x v="128"/>
    <n v="2024"/>
    <n v="3"/>
    <x v="9"/>
    <s v="Friday"/>
    <x v="10"/>
    <x v="0"/>
    <s v="Other Than"/>
    <x v="52"/>
    <x v="7"/>
    <s v="Toxic Release"/>
    <s v="Operator Training"/>
    <x v="3"/>
    <n v="5"/>
    <n v="25"/>
    <x v="5"/>
    <x v="2"/>
    <x v="3"/>
  </r>
  <r>
    <n v="1045"/>
    <x v="63"/>
    <n v="2023"/>
    <n v="1"/>
    <x v="7"/>
    <s v="Thursday"/>
    <x v="6"/>
    <x v="3"/>
    <s v="No"/>
    <x v="3"/>
    <x v="12"/>
    <s v="Explosion Risk"/>
    <s v="Pressure Relief Valve"/>
    <x v="0"/>
    <n v="1"/>
    <n v="1"/>
    <x v="4"/>
    <x v="1"/>
    <x v="1"/>
  </r>
  <r>
    <n v="1056"/>
    <x v="129"/>
    <n v="2024"/>
    <n v="3"/>
    <x v="9"/>
    <s v="Saturday"/>
    <x v="7"/>
    <x v="0"/>
    <s v="As Well As"/>
    <x v="21"/>
    <x v="0"/>
    <s v="Overpressure Of Vessel"/>
    <s v="Pressure Relief Valve"/>
    <x v="0"/>
    <n v="2"/>
    <n v="2"/>
    <x v="2"/>
    <x v="0"/>
    <x v="2"/>
  </r>
  <r>
    <n v="1076"/>
    <x v="130"/>
    <n v="2023"/>
    <n v="3"/>
    <x v="1"/>
    <s v="Tuesday"/>
    <x v="11"/>
    <x v="3"/>
    <s v="Early"/>
    <x v="9"/>
    <x v="5"/>
    <s v="Equipment Damage"/>
    <s v="Redundant Instrumentation"/>
    <x v="2"/>
    <m/>
    <m/>
    <x v="3"/>
    <x v="0"/>
    <x v="1"/>
  </r>
  <r>
    <n v="1136"/>
    <x v="131"/>
    <n v="2024"/>
    <n v="2"/>
    <x v="2"/>
    <s v="Thursday"/>
    <x v="10"/>
    <x v="1"/>
    <s v="Late"/>
    <x v="42"/>
    <x v="10"/>
    <s v="Overpressure Of Vessel"/>
    <s v="High Level Alarm"/>
    <x v="1"/>
    <n v="1"/>
    <n v="2"/>
    <x v="1"/>
    <x v="2"/>
    <x v="2"/>
  </r>
  <r>
    <n v="1128"/>
    <x v="130"/>
    <n v="2023"/>
    <n v="3"/>
    <x v="1"/>
    <s v="Tuesday"/>
    <x v="3"/>
    <x v="2"/>
    <s v="No"/>
    <x v="53"/>
    <x v="2"/>
    <s v="Toxic Release"/>
    <s v="N/A"/>
    <x v="2"/>
    <n v="2"/>
    <n v="6"/>
    <x v="2"/>
    <x v="0"/>
    <x v="4"/>
  </r>
  <r>
    <n v="1177"/>
    <x v="132"/>
    <n v="2024"/>
    <n v="1"/>
    <x v="0"/>
    <s v="Wednesday"/>
    <x v="8"/>
    <x v="2"/>
    <s v="Other Than"/>
    <x v="28"/>
    <x v="3"/>
    <s v="Environmental Release"/>
    <s v="Emergency Shutdown (Esd)"/>
    <x v="2"/>
    <n v="1"/>
    <n v="3"/>
    <x v="4"/>
    <x v="3"/>
    <x v="4"/>
  </r>
  <r>
    <n v="1069"/>
    <x v="133"/>
    <n v="2024"/>
    <n v="3"/>
    <x v="11"/>
    <s v="Thursday"/>
    <x v="10"/>
    <x v="3"/>
    <s v="Less"/>
    <x v="54"/>
    <x v="12"/>
    <s v="Vessel Overflow"/>
    <s v="Safeguard Not Documented"/>
    <x v="2"/>
    <n v="3"/>
    <n v="9"/>
    <x v="1"/>
    <x v="2"/>
    <x v="0"/>
  </r>
  <r>
    <n v="1168"/>
    <x v="134"/>
    <n v="2024"/>
    <n v="4"/>
    <x v="5"/>
    <s v="Friday"/>
    <x v="10"/>
    <x v="3"/>
    <s v="Reverse"/>
    <x v="38"/>
    <x v="2"/>
    <s v="Overpressure Of Vessel"/>
    <s v="Regular Maintenance"/>
    <x v="2"/>
    <n v="3"/>
    <n v="9"/>
    <x v="1"/>
    <x v="2"/>
    <x v="1"/>
  </r>
  <r>
    <n v="1137"/>
    <x v="135"/>
    <n v="2023"/>
    <n v="2"/>
    <x v="2"/>
    <s v="Thursday"/>
    <x v="6"/>
    <x v="2"/>
    <s v="Other Than"/>
    <x v="28"/>
    <x v="3"/>
    <s v="Fire Hazard"/>
    <s v="Prv"/>
    <x v="3"/>
    <n v="3"/>
    <n v="15"/>
    <x v="2"/>
    <x v="1"/>
    <x v="0"/>
  </r>
  <r>
    <n v="1043"/>
    <x v="136"/>
    <n v="2023"/>
    <n v="2"/>
    <x v="4"/>
    <s v="Thursday"/>
    <x v="4"/>
    <x v="3"/>
    <s v="Part Of"/>
    <x v="6"/>
    <x v="10"/>
    <s v="Consequence Not Recorded"/>
    <s v="N/A"/>
    <x v="2"/>
    <n v="3"/>
    <n v="9"/>
    <x v="4"/>
    <x v="1"/>
    <x v="3"/>
  </r>
  <r>
    <n v="1111"/>
    <x v="137"/>
    <n v="2024"/>
    <n v="4"/>
    <x v="5"/>
    <s v="Tuesday"/>
    <x v="13"/>
    <x v="3"/>
    <s v="Late"/>
    <x v="19"/>
    <x v="0"/>
    <s v="Loss Of Containment"/>
    <s v="Operator Training"/>
    <x v="2"/>
    <n v="3"/>
    <n v="9"/>
    <x v="4"/>
    <x v="2"/>
    <x v="3"/>
  </r>
  <r>
    <n v="1090"/>
    <x v="138"/>
    <n v="2023"/>
    <n v="1"/>
    <x v="0"/>
    <s v="Tuesday"/>
    <x v="8"/>
    <x v="3"/>
    <s v="More"/>
    <x v="16"/>
    <x v="11"/>
    <s v="Equipment Damage"/>
    <s v="Regular Maintenance"/>
    <x v="3"/>
    <n v="4"/>
    <n v="20"/>
    <x v="4"/>
    <x v="3"/>
    <x v="2"/>
  </r>
  <r>
    <n v="1024"/>
    <x v="88"/>
    <n v="2023"/>
    <n v="4"/>
    <x v="5"/>
    <s v="Monday"/>
    <x v="12"/>
    <x v="3"/>
    <s v="Late"/>
    <x v="19"/>
    <x v="5"/>
    <s v="Product Off-Spec"/>
    <s v="Interlock System"/>
    <x v="2"/>
    <n v="1"/>
    <n v="3"/>
    <x v="4"/>
    <x v="1"/>
    <x v="0"/>
  </r>
  <r>
    <n v="1143"/>
    <x v="139"/>
    <n v="2023"/>
    <n v="4"/>
    <x v="5"/>
    <s v="Sunday"/>
    <x v="13"/>
    <x v="3"/>
    <s v="Part Of"/>
    <x v="6"/>
    <x v="1"/>
    <s v="Environmental Release"/>
    <s v="High Level Alarm"/>
    <x v="3"/>
    <n v="1"/>
    <n v="5"/>
    <x v="3"/>
    <x v="2"/>
    <x v="0"/>
  </r>
  <r>
    <n v="1093"/>
    <x v="140"/>
    <n v="2024"/>
    <n v="2"/>
    <x v="2"/>
    <s v="Saturday"/>
    <x v="0"/>
    <x v="3"/>
    <s v="More"/>
    <x v="16"/>
    <x v="11"/>
    <s v="Loss Of Containment"/>
    <s v="N/A"/>
    <x v="2"/>
    <n v="1"/>
    <n v="3"/>
    <x v="5"/>
    <x v="3"/>
    <x v="1"/>
  </r>
  <r>
    <n v="1104"/>
    <x v="141"/>
    <n v="2024"/>
    <n v="3"/>
    <x v="11"/>
    <s v="Tuesday"/>
    <x v="9"/>
    <x v="3"/>
    <s v="Part Of"/>
    <x v="6"/>
    <x v="5"/>
    <s v="Loss Of Containment"/>
    <s v="High Level Alarm"/>
    <x v="3"/>
    <n v="3"/>
    <n v="15"/>
    <x v="1"/>
    <x v="2"/>
    <x v="3"/>
  </r>
  <r>
    <n v="1152"/>
    <x v="142"/>
    <n v="2024"/>
    <n v="2"/>
    <x v="10"/>
    <s v="Monday"/>
    <x v="3"/>
    <x v="1"/>
    <s v="Reverse"/>
    <x v="41"/>
    <x v="9"/>
    <s v="Vessel Overflow"/>
    <s v="N/A"/>
    <x v="2"/>
    <n v="5"/>
    <n v="15"/>
    <x v="2"/>
    <x v="2"/>
    <x v="4"/>
  </r>
  <r>
    <n v="1068"/>
    <x v="143"/>
    <n v="2024"/>
    <n v="4"/>
    <x v="3"/>
    <s v="Friday"/>
    <x v="7"/>
    <x v="5"/>
    <s v="Other Than"/>
    <x v="34"/>
    <x v="11"/>
    <s v="Fire Hazard"/>
    <s v="Safeguard Not Documented"/>
    <x v="1"/>
    <n v="1"/>
    <n v="2"/>
    <x v="0"/>
    <x v="0"/>
    <x v="1"/>
  </r>
  <r>
    <n v="1176"/>
    <x v="144"/>
    <n v="2023"/>
    <n v="1"/>
    <x v="0"/>
    <s v="Monday"/>
    <x v="11"/>
    <x v="3"/>
    <s v="Not Specified"/>
    <x v="11"/>
    <x v="12"/>
    <s v="Environmental Release"/>
    <s v="High Level Alarm"/>
    <x v="3"/>
    <n v="5"/>
    <n v="25"/>
    <x v="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ED7C96-C0E4-4083-A8E4-3DB39ED1128C}"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E66:K80" firstHeaderRow="1" firstDataRow="2" firstDataCol="1"/>
  <pivotFields count="19">
    <pivotField dataField="1" showAll="0"/>
    <pivotField numFmtId="14" showAll="0">
      <items count="146">
        <item x="55"/>
        <item x="4"/>
        <item x="120"/>
        <item x="144"/>
        <item x="138"/>
        <item x="17"/>
        <item x="117"/>
        <item x="38"/>
        <item x="81"/>
        <item x="54"/>
        <item x="63"/>
        <item x="103"/>
        <item x="21"/>
        <item x="29"/>
        <item x="34"/>
        <item x="101"/>
        <item x="86"/>
        <item x="52"/>
        <item x="18"/>
        <item x="24"/>
        <item x="41"/>
        <item x="118"/>
        <item x="114"/>
        <item x="32"/>
        <item x="136"/>
        <item x="83"/>
        <item x="78"/>
        <item x="36"/>
        <item x="30"/>
        <item x="65"/>
        <item x="48"/>
        <item x="91"/>
        <item x="53"/>
        <item x="135"/>
        <item x="28"/>
        <item x="96"/>
        <item x="47"/>
        <item x="130"/>
        <item x="6"/>
        <item x="12"/>
        <item x="71"/>
        <item x="116"/>
        <item x="68"/>
        <item x="127"/>
        <item x="26"/>
        <item x="112"/>
        <item x="79"/>
        <item x="57"/>
        <item x="67"/>
        <item x="125"/>
        <item x="22"/>
        <item x="50"/>
        <item x="15"/>
        <item x="3"/>
        <item x="33"/>
        <item x="77"/>
        <item x="93"/>
        <item x="84"/>
        <item x="88"/>
        <item x="139"/>
        <item x="61"/>
        <item x="107"/>
        <item x="20"/>
        <item x="14"/>
        <item x="49"/>
        <item x="35"/>
        <item x="87"/>
        <item x="132"/>
        <item x="0"/>
        <item x="121"/>
        <item x="94"/>
        <item x="27"/>
        <item x="37"/>
        <item x="104"/>
        <item x="13"/>
        <item x="45"/>
        <item x="110"/>
        <item x="75"/>
        <item x="105"/>
        <item x="72"/>
        <item x="126"/>
        <item x="25"/>
        <item x="89"/>
        <item x="39"/>
        <item x="108"/>
        <item x="10"/>
        <item x="80"/>
        <item x="109"/>
        <item x="92"/>
        <item x="119"/>
        <item x="142"/>
        <item x="85"/>
        <item x="62"/>
        <item x="106"/>
        <item x="40"/>
        <item x="70"/>
        <item x="102"/>
        <item x="19"/>
        <item x="64"/>
        <item x="56"/>
        <item x="23"/>
        <item x="8"/>
        <item x="60"/>
        <item x="66"/>
        <item x="124"/>
        <item x="140"/>
        <item x="95"/>
        <item x="111"/>
        <item x="5"/>
        <item x="131"/>
        <item x="43"/>
        <item x="2"/>
        <item x="99"/>
        <item x="42"/>
        <item x="76"/>
        <item x="31"/>
        <item x="11"/>
        <item x="123"/>
        <item x="58"/>
        <item x="1"/>
        <item x="115"/>
        <item x="73"/>
        <item x="122"/>
        <item x="98"/>
        <item x="129"/>
        <item x="128"/>
        <item x="90"/>
        <item x="97"/>
        <item x="133"/>
        <item x="141"/>
        <item x="113"/>
        <item x="82"/>
        <item x="7"/>
        <item x="46"/>
        <item x="44"/>
        <item x="16"/>
        <item x="74"/>
        <item x="143"/>
        <item x="59"/>
        <item x="9"/>
        <item x="134"/>
        <item x="100"/>
        <item x="69"/>
        <item x="137"/>
        <item x="51"/>
        <item t="default"/>
      </items>
    </pivotField>
    <pivotField showAll="0"/>
    <pivotField showAll="0"/>
    <pivotField axis="axisRow" showAll="0">
      <items count="13">
        <item x="0"/>
        <item x="7"/>
        <item x="6"/>
        <item x="10"/>
        <item x="4"/>
        <item x="2"/>
        <item x="1"/>
        <item x="9"/>
        <item x="11"/>
        <item x="3"/>
        <item x="5"/>
        <item x="8"/>
        <item t="default"/>
      </items>
    </pivotField>
    <pivotField showAll="0"/>
    <pivotField showAll="0">
      <items count="15">
        <item x="5"/>
        <item x="9"/>
        <item x="7"/>
        <item x="11"/>
        <item x="0"/>
        <item x="8"/>
        <item x="6"/>
        <item x="2"/>
        <item x="3"/>
        <item x="1"/>
        <item x="13"/>
        <item x="4"/>
        <item x="12"/>
        <item x="10"/>
        <item t="default"/>
      </items>
    </pivotField>
    <pivotField showAll="0">
      <items count="9">
        <item x="7"/>
        <item x="3"/>
        <item x="2"/>
        <item x="6"/>
        <item x="1"/>
        <item x="4"/>
        <item x="0"/>
        <item x="5"/>
        <item t="default"/>
      </items>
    </pivotField>
    <pivotField showAll="0"/>
    <pivotField showAll="0">
      <items count="56">
        <item x="2"/>
        <item x="30"/>
        <item x="21"/>
        <item x="27"/>
        <item x="50"/>
        <item x="9"/>
        <item x="25"/>
        <item x="49"/>
        <item x="35"/>
        <item x="48"/>
        <item x="20"/>
        <item x="37"/>
        <item x="19"/>
        <item x="42"/>
        <item x="51"/>
        <item x="47"/>
        <item x="39"/>
        <item x="54"/>
        <item x="4"/>
        <item x="29"/>
        <item x="7"/>
        <item x="5"/>
        <item x="43"/>
        <item x="13"/>
        <item x="16"/>
        <item x="14"/>
        <item x="1"/>
        <item x="26"/>
        <item x="15"/>
        <item x="10"/>
        <item x="3"/>
        <item x="53"/>
        <item x="33"/>
        <item x="18"/>
        <item x="40"/>
        <item x="12"/>
        <item x="11"/>
        <item x="45"/>
        <item x="23"/>
        <item x="28"/>
        <item x="17"/>
        <item x="31"/>
        <item x="52"/>
        <item x="34"/>
        <item x="6"/>
        <item x="8"/>
        <item x="44"/>
        <item x="36"/>
        <item x="0"/>
        <item x="22"/>
        <item x="38"/>
        <item x="41"/>
        <item x="46"/>
        <item x="32"/>
        <item x="24"/>
        <item t="default"/>
      </items>
    </pivotField>
    <pivotField showAll="0">
      <items count="14">
        <item x="0"/>
        <item x="1"/>
        <item x="10"/>
        <item x="12"/>
        <item x="9"/>
        <item x="6"/>
        <item x="11"/>
        <item x="7"/>
        <item x="8"/>
        <item x="2"/>
        <item x="5"/>
        <item x="4"/>
        <item x="3"/>
        <item t="default"/>
      </items>
    </pivotField>
    <pivotField showAll="0"/>
    <pivotField showAll="0"/>
    <pivotField showAll="0"/>
    <pivotField showAll="0"/>
    <pivotField showAll="0"/>
    <pivotField showAll="0"/>
    <pivotField showAll="0">
      <items count="5">
        <item x="2"/>
        <item x="3"/>
        <item x="0"/>
        <item x="1"/>
        <item t="default"/>
      </items>
    </pivotField>
    <pivotField axis="axisCol" showAll="0">
      <items count="7">
        <item x="1"/>
        <item x="0"/>
        <item m="1" x="5"/>
        <item x="2"/>
        <item x="3"/>
        <item x="4"/>
        <item t="default"/>
      </items>
    </pivotField>
  </pivotFields>
  <rowFields count="1">
    <field x="4"/>
  </rowFields>
  <rowItems count="13">
    <i>
      <x/>
    </i>
    <i>
      <x v="1"/>
    </i>
    <i>
      <x v="2"/>
    </i>
    <i>
      <x v="3"/>
    </i>
    <i>
      <x v="4"/>
    </i>
    <i>
      <x v="5"/>
    </i>
    <i>
      <x v="6"/>
    </i>
    <i>
      <x v="7"/>
    </i>
    <i>
      <x v="8"/>
    </i>
    <i>
      <x v="9"/>
    </i>
    <i>
      <x v="10"/>
    </i>
    <i>
      <x v="11"/>
    </i>
    <i t="grand">
      <x/>
    </i>
  </rowItems>
  <colFields count="1">
    <field x="18"/>
  </colFields>
  <colItems count="6">
    <i>
      <x/>
    </i>
    <i>
      <x v="1"/>
    </i>
    <i>
      <x v="3"/>
    </i>
    <i>
      <x v="4"/>
    </i>
    <i>
      <x v="5"/>
    </i>
    <i t="grand">
      <x/>
    </i>
  </colItems>
  <dataFields count="1">
    <dataField name="Count of HAZOP_ID" fld="0" subtotal="count" showDataAs="runTotal" baseField="4" baseItem="5"/>
  </dataFields>
  <chartFormats count="6">
    <chartFormat chart="6" format="7" series="1">
      <pivotArea type="data" outline="0" fieldPosition="0">
        <references count="2">
          <reference field="4294967294" count="1" selected="0">
            <x v="0"/>
          </reference>
          <reference field="18" count="1" selected="0">
            <x v="0"/>
          </reference>
        </references>
      </pivotArea>
    </chartFormat>
    <chartFormat chart="6" format="8" series="1">
      <pivotArea type="data" outline="0" fieldPosition="0">
        <references count="2">
          <reference field="4294967294" count="1" selected="0">
            <x v="0"/>
          </reference>
          <reference field="18" count="1" selected="0">
            <x v="3"/>
          </reference>
        </references>
      </pivotArea>
    </chartFormat>
    <chartFormat chart="6" format="9" series="1">
      <pivotArea type="data" outline="0" fieldPosition="0">
        <references count="2">
          <reference field="4294967294" count="1" selected="0">
            <x v="0"/>
          </reference>
          <reference field="18" count="1" selected="0">
            <x v="4"/>
          </reference>
        </references>
      </pivotArea>
    </chartFormat>
    <chartFormat chart="6" format="10" series="1">
      <pivotArea type="data" outline="0" fieldPosition="0">
        <references count="2">
          <reference field="4294967294" count="1" selected="0">
            <x v="0"/>
          </reference>
          <reference field="18" count="1" selected="0">
            <x v="5"/>
          </reference>
        </references>
      </pivotArea>
    </chartFormat>
    <chartFormat chart="6" format="11" series="1">
      <pivotArea type="data" outline="0" fieldPosition="0">
        <references count="2">
          <reference field="4294967294" count="1" selected="0">
            <x v="0"/>
          </reference>
          <reference field="18" count="1" selected="0">
            <x v="1"/>
          </reference>
        </references>
      </pivotArea>
    </chartFormat>
    <chartFormat chart="6"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35E289B-1A62-4356-834F-DD1E6FEB2ADE}" name="PivotTable8" cacheId="0"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D16:E22" firstHeaderRow="1" firstDataRow="1" firstDataCol="1"/>
  <pivotFields count="19">
    <pivotField dataField="1" showAll="0"/>
    <pivotField numFmtId="14" showAll="0">
      <items count="146">
        <item x="55"/>
        <item x="4"/>
        <item x="120"/>
        <item x="144"/>
        <item x="138"/>
        <item x="17"/>
        <item x="117"/>
        <item x="38"/>
        <item x="81"/>
        <item x="54"/>
        <item x="63"/>
        <item x="103"/>
        <item x="21"/>
        <item x="29"/>
        <item x="34"/>
        <item x="101"/>
        <item x="86"/>
        <item x="52"/>
        <item x="18"/>
        <item x="24"/>
        <item x="41"/>
        <item x="118"/>
        <item x="114"/>
        <item x="32"/>
        <item x="136"/>
        <item x="83"/>
        <item x="78"/>
        <item x="36"/>
        <item x="30"/>
        <item x="65"/>
        <item x="48"/>
        <item x="91"/>
        <item x="53"/>
        <item x="135"/>
        <item x="28"/>
        <item x="96"/>
        <item x="47"/>
        <item x="130"/>
        <item x="6"/>
        <item x="12"/>
        <item x="71"/>
        <item x="116"/>
        <item x="68"/>
        <item x="127"/>
        <item x="26"/>
        <item x="112"/>
        <item x="79"/>
        <item x="57"/>
        <item x="67"/>
        <item x="125"/>
        <item x="22"/>
        <item x="50"/>
        <item x="15"/>
        <item x="3"/>
        <item x="33"/>
        <item x="77"/>
        <item x="93"/>
        <item x="84"/>
        <item x="88"/>
        <item x="139"/>
        <item x="61"/>
        <item x="107"/>
        <item x="20"/>
        <item x="14"/>
        <item x="49"/>
        <item x="35"/>
        <item x="87"/>
        <item x="132"/>
        <item x="0"/>
        <item x="121"/>
        <item x="94"/>
        <item x="27"/>
        <item x="37"/>
        <item x="104"/>
        <item x="13"/>
        <item x="45"/>
        <item x="110"/>
        <item x="75"/>
        <item x="105"/>
        <item x="72"/>
        <item x="126"/>
        <item x="25"/>
        <item x="89"/>
        <item x="39"/>
        <item x="108"/>
        <item x="10"/>
        <item x="80"/>
        <item x="109"/>
        <item x="92"/>
        <item x="119"/>
        <item x="142"/>
        <item x="85"/>
        <item x="62"/>
        <item x="106"/>
        <item x="40"/>
        <item x="70"/>
        <item x="102"/>
        <item x="19"/>
        <item x="64"/>
        <item x="56"/>
        <item x="23"/>
        <item x="8"/>
        <item x="60"/>
        <item x="66"/>
        <item x="124"/>
        <item x="140"/>
        <item x="95"/>
        <item x="111"/>
        <item x="5"/>
        <item x="131"/>
        <item x="43"/>
        <item x="2"/>
        <item x="99"/>
        <item x="42"/>
        <item x="76"/>
        <item x="31"/>
        <item x="11"/>
        <item x="123"/>
        <item x="58"/>
        <item x="1"/>
        <item x="115"/>
        <item x="73"/>
        <item x="122"/>
        <item x="98"/>
        <item x="129"/>
        <item x="128"/>
        <item x="90"/>
        <item x="97"/>
        <item x="133"/>
        <item x="141"/>
        <item x="113"/>
        <item x="82"/>
        <item x="7"/>
        <item x="46"/>
        <item x="44"/>
        <item x="16"/>
        <item x="74"/>
        <item x="143"/>
        <item x="59"/>
        <item x="9"/>
        <item x="134"/>
        <item x="100"/>
        <item x="69"/>
        <item x="137"/>
        <item x="51"/>
        <item t="default"/>
      </items>
    </pivotField>
    <pivotField showAll="0"/>
    <pivotField showAll="0"/>
    <pivotField showAll="0"/>
    <pivotField showAll="0"/>
    <pivotField showAll="0">
      <items count="15">
        <item x="5"/>
        <item x="9"/>
        <item x="7"/>
        <item x="11"/>
        <item x="0"/>
        <item x="8"/>
        <item x="6"/>
        <item x="2"/>
        <item x="3"/>
        <item x="1"/>
        <item x="13"/>
        <item x="4"/>
        <item x="12"/>
        <item x="10"/>
        <item t="default"/>
      </items>
    </pivotField>
    <pivotField showAll="0">
      <items count="9">
        <item x="7"/>
        <item x="3"/>
        <item x="2"/>
        <item x="6"/>
        <item x="1"/>
        <item x="4"/>
        <item x="0"/>
        <item x="5"/>
        <item t="default"/>
      </items>
    </pivotField>
    <pivotField showAll="0"/>
    <pivotField showAll="0">
      <items count="56">
        <item x="2"/>
        <item x="30"/>
        <item x="21"/>
        <item x="27"/>
        <item x="50"/>
        <item x="9"/>
        <item x="25"/>
        <item x="49"/>
        <item x="35"/>
        <item x="48"/>
        <item x="20"/>
        <item x="37"/>
        <item x="19"/>
        <item x="42"/>
        <item x="51"/>
        <item x="47"/>
        <item x="39"/>
        <item x="54"/>
        <item x="4"/>
        <item x="29"/>
        <item x="7"/>
        <item x="5"/>
        <item x="43"/>
        <item x="13"/>
        <item x="16"/>
        <item x="14"/>
        <item x="1"/>
        <item x="26"/>
        <item x="15"/>
        <item x="10"/>
        <item x="3"/>
        <item x="53"/>
        <item x="33"/>
        <item x="18"/>
        <item x="40"/>
        <item x="12"/>
        <item x="11"/>
        <item x="45"/>
        <item x="23"/>
        <item x="28"/>
        <item x="17"/>
        <item x="31"/>
        <item x="52"/>
        <item x="34"/>
        <item x="6"/>
        <item x="8"/>
        <item x="44"/>
        <item x="36"/>
        <item x="0"/>
        <item x="22"/>
        <item x="38"/>
        <item x="41"/>
        <item x="46"/>
        <item x="32"/>
        <item x="24"/>
        <item t="default"/>
      </items>
    </pivotField>
    <pivotField showAll="0">
      <items count="14">
        <item x="0"/>
        <item x="1"/>
        <item x="10"/>
        <item x="12"/>
        <item x="9"/>
        <item x="6"/>
        <item x="11"/>
        <item x="7"/>
        <item x="8"/>
        <item x="2"/>
        <item x="5"/>
        <item x="4"/>
        <item x="3"/>
        <item t="default"/>
      </items>
    </pivotField>
    <pivotField showAll="0"/>
    <pivotField showAll="0"/>
    <pivotField showAll="0"/>
    <pivotField showAll="0"/>
    <pivotField showAll="0"/>
    <pivotField showAll="0"/>
    <pivotField showAll="0">
      <items count="5">
        <item x="2"/>
        <item x="3"/>
        <item x="0"/>
        <item x="1"/>
        <item t="default"/>
      </items>
    </pivotField>
    <pivotField axis="axisRow" showAll="0">
      <items count="7">
        <item x="1"/>
        <item x="0"/>
        <item m="1" x="5"/>
        <item x="2"/>
        <item x="3"/>
        <item x="4"/>
        <item t="default"/>
      </items>
    </pivotField>
  </pivotFields>
  <rowFields count="1">
    <field x="18"/>
  </rowFields>
  <rowItems count="6">
    <i>
      <x/>
    </i>
    <i>
      <x v="1"/>
    </i>
    <i>
      <x v="3"/>
    </i>
    <i>
      <x v="4"/>
    </i>
    <i>
      <x v="5"/>
    </i>
    <i t="grand">
      <x/>
    </i>
  </rowItems>
  <colItems count="1">
    <i/>
  </colItems>
  <dataFields count="1">
    <dataField name="Count of HAZOP_ID" fld="0" subtotal="count" baseField="1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A140C93-C404-4D3F-8CAA-2C82E767F09A}" name="pvt8"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4">
  <location ref="E41:F46" firstHeaderRow="1" firstDataRow="1" firstDataCol="1"/>
  <pivotFields count="19">
    <pivotField showAll="0"/>
    <pivotField numFmtId="14" showAll="0">
      <items count="146">
        <item x="55"/>
        <item x="4"/>
        <item x="120"/>
        <item x="144"/>
        <item x="138"/>
        <item x="17"/>
        <item x="117"/>
        <item x="38"/>
        <item x="81"/>
        <item x="54"/>
        <item x="63"/>
        <item x="103"/>
        <item x="21"/>
        <item x="29"/>
        <item x="34"/>
        <item x="101"/>
        <item x="86"/>
        <item x="52"/>
        <item x="18"/>
        <item x="24"/>
        <item x="41"/>
        <item x="118"/>
        <item x="114"/>
        <item x="32"/>
        <item x="136"/>
        <item x="83"/>
        <item x="78"/>
        <item x="36"/>
        <item x="30"/>
        <item x="65"/>
        <item x="48"/>
        <item x="91"/>
        <item x="53"/>
        <item x="135"/>
        <item x="28"/>
        <item x="96"/>
        <item x="47"/>
        <item x="130"/>
        <item x="6"/>
        <item x="12"/>
        <item x="71"/>
        <item x="116"/>
        <item x="68"/>
        <item x="127"/>
        <item x="26"/>
        <item x="112"/>
        <item x="79"/>
        <item x="57"/>
        <item x="67"/>
        <item x="125"/>
        <item x="22"/>
        <item x="50"/>
        <item x="15"/>
        <item x="3"/>
        <item x="33"/>
        <item x="77"/>
        <item x="93"/>
        <item x="84"/>
        <item x="88"/>
        <item x="139"/>
        <item x="61"/>
        <item x="107"/>
        <item x="20"/>
        <item x="14"/>
        <item x="49"/>
        <item x="35"/>
        <item x="87"/>
        <item x="132"/>
        <item x="0"/>
        <item x="121"/>
        <item x="94"/>
        <item x="27"/>
        <item x="37"/>
        <item x="104"/>
        <item x="13"/>
        <item x="45"/>
        <item x="110"/>
        <item x="75"/>
        <item x="105"/>
        <item x="72"/>
        <item x="126"/>
        <item x="25"/>
        <item x="89"/>
        <item x="39"/>
        <item x="108"/>
        <item x="10"/>
        <item x="80"/>
        <item x="109"/>
        <item x="92"/>
        <item x="119"/>
        <item x="142"/>
        <item x="85"/>
        <item x="62"/>
        <item x="106"/>
        <item x="40"/>
        <item x="70"/>
        <item x="102"/>
        <item x="19"/>
        <item x="64"/>
        <item x="56"/>
        <item x="23"/>
        <item x="8"/>
        <item x="60"/>
        <item x="66"/>
        <item x="124"/>
        <item x="140"/>
        <item x="95"/>
        <item x="111"/>
        <item x="5"/>
        <item x="131"/>
        <item x="43"/>
        <item x="2"/>
        <item x="99"/>
        <item x="42"/>
        <item x="76"/>
        <item x="31"/>
        <item x="11"/>
        <item x="123"/>
        <item x="58"/>
        <item x="1"/>
        <item x="115"/>
        <item x="73"/>
        <item x="122"/>
        <item x="98"/>
        <item x="129"/>
        <item x="128"/>
        <item x="90"/>
        <item x="97"/>
        <item x="133"/>
        <item x="141"/>
        <item x="113"/>
        <item x="82"/>
        <item x="7"/>
        <item x="46"/>
        <item x="44"/>
        <item x="16"/>
        <item x="74"/>
        <item x="143"/>
        <item x="59"/>
        <item x="9"/>
        <item x="134"/>
        <item x="100"/>
        <item x="69"/>
        <item x="137"/>
        <item x="51"/>
        <item t="default"/>
      </items>
    </pivotField>
    <pivotField showAll="0"/>
    <pivotField showAll="0"/>
    <pivotField showAll="0"/>
    <pivotField showAll="0"/>
    <pivotField showAll="0">
      <items count="15">
        <item x="5"/>
        <item x="9"/>
        <item x="7"/>
        <item x="11"/>
        <item x="0"/>
        <item x="8"/>
        <item x="6"/>
        <item x="2"/>
        <item x="3"/>
        <item x="1"/>
        <item x="13"/>
        <item x="4"/>
        <item x="12"/>
        <item x="10"/>
        <item t="default"/>
      </items>
    </pivotField>
    <pivotField showAll="0">
      <items count="9">
        <item x="7"/>
        <item x="3"/>
        <item x="2"/>
        <item x="6"/>
        <item x="1"/>
        <item x="4"/>
        <item x="0"/>
        <item x="5"/>
        <item t="default"/>
      </items>
    </pivotField>
    <pivotField showAll="0"/>
    <pivotField showAll="0">
      <items count="56">
        <item x="2"/>
        <item x="30"/>
        <item x="21"/>
        <item x="27"/>
        <item x="50"/>
        <item x="9"/>
        <item x="25"/>
        <item x="49"/>
        <item x="35"/>
        <item x="48"/>
        <item x="20"/>
        <item x="37"/>
        <item x="19"/>
        <item x="42"/>
        <item x="51"/>
        <item x="47"/>
        <item x="39"/>
        <item x="54"/>
        <item x="4"/>
        <item x="29"/>
        <item x="7"/>
        <item x="5"/>
        <item x="43"/>
        <item x="13"/>
        <item x="16"/>
        <item x="14"/>
        <item x="1"/>
        <item x="26"/>
        <item x="15"/>
        <item x="10"/>
        <item x="3"/>
        <item x="53"/>
        <item x="33"/>
        <item x="18"/>
        <item x="40"/>
        <item x="12"/>
        <item x="11"/>
        <item x="45"/>
        <item x="23"/>
        <item x="28"/>
        <item x="17"/>
        <item x="31"/>
        <item x="52"/>
        <item x="34"/>
        <item x="6"/>
        <item x="8"/>
        <item x="44"/>
        <item x="36"/>
        <item x="0"/>
        <item x="22"/>
        <item x="38"/>
        <item x="41"/>
        <item x="46"/>
        <item x="32"/>
        <item x="24"/>
        <item t="default"/>
      </items>
    </pivotField>
    <pivotField showAll="0">
      <items count="14">
        <item x="0"/>
        <item x="1"/>
        <item x="10"/>
        <item x="12"/>
        <item x="9"/>
        <item x="6"/>
        <item x="11"/>
        <item x="7"/>
        <item x="8"/>
        <item x="2"/>
        <item x="5"/>
        <item x="4"/>
        <item x="3"/>
        <item t="default"/>
      </items>
    </pivotField>
    <pivotField showAll="0"/>
    <pivotField showAll="0"/>
    <pivotField showAll="0"/>
    <pivotField showAll="0"/>
    <pivotField dataField="1" showAll="0"/>
    <pivotField showAll="0"/>
    <pivotField axis="axisRow" showAll="0">
      <items count="5">
        <item x="2"/>
        <item x="3"/>
        <item x="0"/>
        <item x="1"/>
        <item t="default"/>
      </items>
    </pivotField>
    <pivotField showAll="0">
      <items count="7">
        <item x="1"/>
        <item x="0"/>
        <item m="1" x="5"/>
        <item x="2"/>
        <item x="3"/>
        <item x="4"/>
        <item t="default"/>
      </items>
    </pivotField>
  </pivotFields>
  <rowFields count="1">
    <field x="17"/>
  </rowFields>
  <rowItems count="5">
    <i>
      <x/>
    </i>
    <i>
      <x v="1"/>
    </i>
    <i>
      <x v="2"/>
    </i>
    <i>
      <x v="3"/>
    </i>
    <i t="grand">
      <x/>
    </i>
  </rowItems>
  <colItems count="1">
    <i/>
  </colItems>
  <dataFields count="1">
    <dataField name="Sum of Risk Rating" fld="15" baseField="0" baseItem="0"/>
  </dataFields>
  <formats count="3">
    <format dxfId="4">
      <pivotArea type="all" dataOnly="0" outline="0" fieldPosition="0"/>
    </format>
    <format dxfId="3">
      <pivotArea outline="0" collapsedLevelsAreSubtotals="1" fieldPosition="0"/>
    </format>
    <format dxfId="2">
      <pivotArea dataOnly="0" labelOnly="1" outline="0" axis="axisValues" fieldPosition="0"/>
    </format>
  </formats>
  <chartFormats count="5">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17" count="1" selected="0">
            <x v="0"/>
          </reference>
        </references>
      </pivotArea>
    </chartFormat>
    <chartFormat chart="3" format="12">
      <pivotArea type="data" outline="0" fieldPosition="0">
        <references count="2">
          <reference field="4294967294" count="1" selected="0">
            <x v="0"/>
          </reference>
          <reference field="17" count="1" selected="0">
            <x v="1"/>
          </reference>
        </references>
      </pivotArea>
    </chartFormat>
    <chartFormat chart="3" format="13">
      <pivotArea type="data" outline="0" fieldPosition="0">
        <references count="2">
          <reference field="4294967294" count="1" selected="0">
            <x v="0"/>
          </reference>
          <reference field="17" count="1" selected="0">
            <x v="2"/>
          </reference>
        </references>
      </pivotArea>
    </chartFormat>
    <chartFormat chart="3" format="14">
      <pivotArea type="data" outline="0" fieldPosition="0">
        <references count="2">
          <reference field="4294967294" count="1" selected="0">
            <x v="0"/>
          </reference>
          <reference field="1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75F9732-AEB2-4BCA-AC71-2A14C2F58BD2}" name="pvt6"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4">
  <location ref="E24:F38" firstHeaderRow="1" firstDataRow="1" firstDataCol="1"/>
  <pivotFields count="19">
    <pivotField dataField="1" showAll="0"/>
    <pivotField numFmtId="14" showAll="0">
      <items count="146">
        <item x="55"/>
        <item x="4"/>
        <item x="120"/>
        <item x="144"/>
        <item x="138"/>
        <item x="17"/>
        <item x="117"/>
        <item x="38"/>
        <item x="81"/>
        <item x="54"/>
        <item x="63"/>
        <item x="103"/>
        <item x="21"/>
        <item x="29"/>
        <item x="34"/>
        <item x="101"/>
        <item x="86"/>
        <item x="52"/>
        <item x="18"/>
        <item x="24"/>
        <item x="41"/>
        <item x="118"/>
        <item x="114"/>
        <item x="32"/>
        <item x="136"/>
        <item x="83"/>
        <item x="78"/>
        <item x="36"/>
        <item x="30"/>
        <item x="65"/>
        <item x="48"/>
        <item x="91"/>
        <item x="53"/>
        <item x="135"/>
        <item x="28"/>
        <item x="96"/>
        <item x="47"/>
        <item x="130"/>
        <item x="6"/>
        <item x="12"/>
        <item x="71"/>
        <item x="116"/>
        <item x="68"/>
        <item x="127"/>
        <item x="26"/>
        <item x="112"/>
        <item x="79"/>
        <item x="57"/>
        <item x="67"/>
        <item x="125"/>
        <item x="22"/>
        <item x="50"/>
        <item x="15"/>
        <item x="3"/>
        <item x="33"/>
        <item x="77"/>
        <item x="93"/>
        <item x="84"/>
        <item x="88"/>
        <item x="139"/>
        <item x="61"/>
        <item x="107"/>
        <item x="20"/>
        <item x="14"/>
        <item x="49"/>
        <item x="35"/>
        <item x="87"/>
        <item x="132"/>
        <item x="0"/>
        <item x="121"/>
        <item x="94"/>
        <item x="27"/>
        <item x="37"/>
        <item x="104"/>
        <item x="13"/>
        <item x="45"/>
        <item x="110"/>
        <item x="75"/>
        <item x="105"/>
        <item x="72"/>
        <item x="126"/>
        <item x="25"/>
        <item x="89"/>
        <item x="39"/>
        <item x="108"/>
        <item x="10"/>
        <item x="80"/>
        <item x="109"/>
        <item x="92"/>
        <item x="119"/>
        <item x="142"/>
        <item x="85"/>
        <item x="62"/>
        <item x="106"/>
        <item x="40"/>
        <item x="70"/>
        <item x="102"/>
        <item x="19"/>
        <item x="64"/>
        <item x="56"/>
        <item x="23"/>
        <item x="8"/>
        <item x="60"/>
        <item x="66"/>
        <item x="124"/>
        <item x="140"/>
        <item x="95"/>
        <item x="111"/>
        <item x="5"/>
        <item x="131"/>
        <item x="43"/>
        <item x="2"/>
        <item x="99"/>
        <item x="42"/>
        <item x="76"/>
        <item x="31"/>
        <item x="11"/>
        <item x="123"/>
        <item x="58"/>
        <item x="1"/>
        <item x="115"/>
        <item x="73"/>
        <item x="122"/>
        <item x="98"/>
        <item x="129"/>
        <item x="128"/>
        <item x="90"/>
        <item x="97"/>
        <item x="133"/>
        <item x="141"/>
        <item x="113"/>
        <item x="82"/>
        <item x="7"/>
        <item x="46"/>
        <item x="44"/>
        <item x="16"/>
        <item x="74"/>
        <item x="143"/>
        <item x="59"/>
        <item x="9"/>
        <item x="134"/>
        <item x="100"/>
        <item x="69"/>
        <item x="137"/>
        <item x="51"/>
        <item t="default"/>
      </items>
    </pivotField>
    <pivotField showAll="0"/>
    <pivotField showAll="0"/>
    <pivotField showAll="0"/>
    <pivotField showAll="0"/>
    <pivotField showAll="0">
      <items count="15">
        <item x="5"/>
        <item x="9"/>
        <item x="7"/>
        <item x="11"/>
        <item x="0"/>
        <item x="8"/>
        <item x="6"/>
        <item x="2"/>
        <item x="3"/>
        <item x="1"/>
        <item x="13"/>
        <item x="4"/>
        <item x="12"/>
        <item x="10"/>
        <item t="default"/>
      </items>
    </pivotField>
    <pivotField showAll="0">
      <items count="9">
        <item x="7"/>
        <item x="3"/>
        <item x="2"/>
        <item x="6"/>
        <item x="1"/>
        <item x="4"/>
        <item x="0"/>
        <item x="5"/>
        <item t="default"/>
      </items>
    </pivotField>
    <pivotField showAll="0"/>
    <pivotField showAll="0">
      <items count="56">
        <item x="2"/>
        <item x="30"/>
        <item x="21"/>
        <item x="27"/>
        <item x="50"/>
        <item x="9"/>
        <item x="25"/>
        <item x="49"/>
        <item x="35"/>
        <item x="48"/>
        <item x="20"/>
        <item x="37"/>
        <item x="19"/>
        <item x="42"/>
        <item x="51"/>
        <item x="47"/>
        <item x="39"/>
        <item x="54"/>
        <item x="4"/>
        <item x="29"/>
        <item x="7"/>
        <item x="5"/>
        <item x="43"/>
        <item x="13"/>
        <item x="16"/>
        <item x="14"/>
        <item x="1"/>
        <item x="26"/>
        <item x="15"/>
        <item x="10"/>
        <item x="3"/>
        <item x="53"/>
        <item x="33"/>
        <item x="18"/>
        <item x="40"/>
        <item x="12"/>
        <item x="11"/>
        <item x="45"/>
        <item x="23"/>
        <item x="28"/>
        <item x="17"/>
        <item x="31"/>
        <item x="52"/>
        <item x="34"/>
        <item x="6"/>
        <item x="8"/>
        <item x="44"/>
        <item x="36"/>
        <item x="0"/>
        <item x="22"/>
        <item x="38"/>
        <item x="41"/>
        <item x="46"/>
        <item x="32"/>
        <item x="24"/>
        <item t="default"/>
      </items>
    </pivotField>
    <pivotField axis="axisRow" showAll="0">
      <items count="14">
        <item x="0"/>
        <item x="1"/>
        <item x="10"/>
        <item x="12"/>
        <item x="9"/>
        <item x="6"/>
        <item x="11"/>
        <item x="7"/>
        <item x="8"/>
        <item x="2"/>
        <item x="5"/>
        <item x="4"/>
        <item x="3"/>
        <item t="default"/>
      </items>
    </pivotField>
    <pivotField showAll="0"/>
    <pivotField showAll="0"/>
    <pivotField showAll="0"/>
    <pivotField showAll="0"/>
    <pivotField showAll="0"/>
    <pivotField showAll="0"/>
    <pivotField showAll="0">
      <items count="5">
        <item x="2"/>
        <item x="3"/>
        <item x="0"/>
        <item x="1"/>
        <item t="default"/>
      </items>
    </pivotField>
    <pivotField showAll="0">
      <items count="7">
        <item x="1"/>
        <item x="0"/>
        <item m="1" x="5"/>
        <item x="2"/>
        <item x="3"/>
        <item x="4"/>
        <item t="default"/>
      </items>
    </pivotField>
  </pivotFields>
  <rowFields count="1">
    <field x="10"/>
  </rowFields>
  <rowItems count="14">
    <i>
      <x/>
    </i>
    <i>
      <x v="1"/>
    </i>
    <i>
      <x v="2"/>
    </i>
    <i>
      <x v="3"/>
    </i>
    <i>
      <x v="4"/>
    </i>
    <i>
      <x v="5"/>
    </i>
    <i>
      <x v="6"/>
    </i>
    <i>
      <x v="7"/>
    </i>
    <i>
      <x v="8"/>
    </i>
    <i>
      <x v="9"/>
    </i>
    <i>
      <x v="10"/>
    </i>
    <i>
      <x v="11"/>
    </i>
    <i>
      <x v="12"/>
    </i>
    <i t="grand">
      <x/>
    </i>
  </rowItems>
  <colItems count="1">
    <i/>
  </colItems>
  <dataFields count="1">
    <dataField name="Count of HAZOP_ID" fld="0" subtotal="count" baseField="0" baseItem="0"/>
  </dataFields>
  <formats count="3">
    <format dxfId="7">
      <pivotArea type="all" dataOnly="0" outline="0" fieldPosition="0"/>
    </format>
    <format dxfId="6">
      <pivotArea outline="0" collapsedLevelsAreSubtotals="1" fieldPosition="0"/>
    </format>
    <format dxfId="5">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DBE6098-3200-4638-A4B4-E9E62B621D9A}" name="pvt9"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4">
  <location ref="B50:C57" firstHeaderRow="1" firstDataRow="1" firstDataCol="1"/>
  <pivotFields count="19">
    <pivotField dataField="1" showAll="0"/>
    <pivotField numFmtId="14" showAll="0">
      <items count="146">
        <item x="55"/>
        <item x="4"/>
        <item x="120"/>
        <item x="144"/>
        <item x="138"/>
        <item x="17"/>
        <item x="117"/>
        <item x="38"/>
        <item x="81"/>
        <item x="54"/>
        <item x="63"/>
        <item x="103"/>
        <item x="21"/>
        <item x="29"/>
        <item x="34"/>
        <item x="101"/>
        <item x="86"/>
        <item x="52"/>
        <item x="18"/>
        <item x="24"/>
        <item x="41"/>
        <item x="118"/>
        <item x="114"/>
        <item x="32"/>
        <item x="136"/>
        <item x="83"/>
        <item x="78"/>
        <item x="36"/>
        <item x="30"/>
        <item x="65"/>
        <item x="48"/>
        <item x="91"/>
        <item x="53"/>
        <item x="135"/>
        <item x="28"/>
        <item x="96"/>
        <item x="47"/>
        <item x="130"/>
        <item x="6"/>
        <item x="12"/>
        <item x="71"/>
        <item x="116"/>
        <item x="68"/>
        <item x="127"/>
        <item x="26"/>
        <item x="112"/>
        <item x="79"/>
        <item x="57"/>
        <item x="67"/>
        <item x="125"/>
        <item x="22"/>
        <item x="50"/>
        <item x="15"/>
        <item x="3"/>
        <item x="33"/>
        <item x="77"/>
        <item x="93"/>
        <item x="84"/>
        <item x="88"/>
        <item x="139"/>
        <item x="61"/>
        <item x="107"/>
        <item x="20"/>
        <item x="14"/>
        <item x="49"/>
        <item x="35"/>
        <item x="87"/>
        <item x="132"/>
        <item x="0"/>
        <item x="121"/>
        <item x="94"/>
        <item x="27"/>
        <item x="37"/>
        <item x="104"/>
        <item x="13"/>
        <item x="45"/>
        <item x="110"/>
        <item x="75"/>
        <item x="105"/>
        <item x="72"/>
        <item x="126"/>
        <item x="25"/>
        <item x="89"/>
        <item x="39"/>
        <item x="108"/>
        <item x="10"/>
        <item x="80"/>
        <item x="109"/>
        <item x="92"/>
        <item x="119"/>
        <item x="142"/>
        <item x="85"/>
        <item x="62"/>
        <item x="106"/>
        <item x="40"/>
        <item x="70"/>
        <item x="102"/>
        <item x="19"/>
        <item x="64"/>
        <item x="56"/>
        <item x="23"/>
        <item x="8"/>
        <item x="60"/>
        <item x="66"/>
        <item x="124"/>
        <item x="140"/>
        <item x="95"/>
        <item x="111"/>
        <item x="5"/>
        <item x="131"/>
        <item x="43"/>
        <item x="2"/>
        <item x="99"/>
        <item x="42"/>
        <item x="76"/>
        <item x="31"/>
        <item x="11"/>
        <item x="123"/>
        <item x="58"/>
        <item x="1"/>
        <item x="115"/>
        <item x="73"/>
        <item x="122"/>
        <item x="98"/>
        <item x="129"/>
        <item x="128"/>
        <item x="90"/>
        <item x="97"/>
        <item x="133"/>
        <item x="141"/>
        <item x="113"/>
        <item x="82"/>
        <item x="7"/>
        <item x="46"/>
        <item x="44"/>
        <item x="16"/>
        <item x="74"/>
        <item x="143"/>
        <item x="59"/>
        <item x="9"/>
        <item x="134"/>
        <item x="100"/>
        <item x="69"/>
        <item x="137"/>
        <item x="51"/>
        <item t="default"/>
      </items>
    </pivotField>
    <pivotField showAll="0"/>
    <pivotField showAll="0"/>
    <pivotField showAll="0"/>
    <pivotField showAll="0"/>
    <pivotField showAll="0">
      <items count="15">
        <item x="5"/>
        <item x="9"/>
        <item x="7"/>
        <item x="11"/>
        <item x="0"/>
        <item x="8"/>
        <item x="6"/>
        <item x="2"/>
        <item x="3"/>
        <item x="1"/>
        <item x="13"/>
        <item x="4"/>
        <item x="12"/>
        <item x="10"/>
        <item t="default"/>
      </items>
    </pivotField>
    <pivotField showAll="0">
      <items count="9">
        <item x="7"/>
        <item x="3"/>
        <item x="2"/>
        <item x="6"/>
        <item x="1"/>
        <item x="4"/>
        <item x="0"/>
        <item x="5"/>
        <item t="default"/>
      </items>
    </pivotField>
    <pivotField showAll="0"/>
    <pivotField showAll="0">
      <items count="56">
        <item x="2"/>
        <item x="30"/>
        <item x="21"/>
        <item x="27"/>
        <item x="50"/>
        <item x="9"/>
        <item x="25"/>
        <item x="49"/>
        <item x="35"/>
        <item x="48"/>
        <item x="20"/>
        <item x="37"/>
        <item x="19"/>
        <item x="42"/>
        <item x="51"/>
        <item x="47"/>
        <item x="39"/>
        <item x="54"/>
        <item x="4"/>
        <item x="29"/>
        <item x="7"/>
        <item x="5"/>
        <item x="43"/>
        <item x="13"/>
        <item x="16"/>
        <item x="14"/>
        <item x="1"/>
        <item x="26"/>
        <item x="15"/>
        <item x="10"/>
        <item x="3"/>
        <item x="53"/>
        <item x="33"/>
        <item x="18"/>
        <item x="40"/>
        <item x="12"/>
        <item x="11"/>
        <item x="45"/>
        <item x="23"/>
        <item x="28"/>
        <item x="17"/>
        <item x="31"/>
        <item x="52"/>
        <item x="34"/>
        <item x="6"/>
        <item x="8"/>
        <item x="44"/>
        <item x="36"/>
        <item x="0"/>
        <item x="22"/>
        <item x="38"/>
        <item x="41"/>
        <item x="46"/>
        <item x="32"/>
        <item x="24"/>
        <item t="default"/>
      </items>
    </pivotField>
    <pivotField showAll="0">
      <items count="14">
        <item x="0"/>
        <item x="1"/>
        <item x="10"/>
        <item x="12"/>
        <item x="9"/>
        <item x="6"/>
        <item x="11"/>
        <item x="7"/>
        <item x="8"/>
        <item x="2"/>
        <item x="5"/>
        <item x="4"/>
        <item x="3"/>
        <item t="default"/>
      </items>
    </pivotField>
    <pivotField showAll="0"/>
    <pivotField showAll="0"/>
    <pivotField axis="axisRow" showAll="0">
      <items count="7">
        <item x="0"/>
        <item x="1"/>
        <item x="2"/>
        <item x="5"/>
        <item x="3"/>
        <item x="4"/>
        <item t="default"/>
      </items>
    </pivotField>
    <pivotField showAll="0"/>
    <pivotField showAll="0"/>
    <pivotField showAll="0"/>
    <pivotField showAll="0">
      <items count="5">
        <item x="2"/>
        <item x="3"/>
        <item x="0"/>
        <item x="1"/>
        <item t="default"/>
      </items>
    </pivotField>
    <pivotField showAll="0">
      <items count="7">
        <item x="1"/>
        <item x="0"/>
        <item m="1" x="5"/>
        <item x="2"/>
        <item x="3"/>
        <item x="4"/>
        <item t="default"/>
      </items>
    </pivotField>
  </pivotFields>
  <rowFields count="1">
    <field x="13"/>
  </rowFields>
  <rowItems count="7">
    <i>
      <x/>
    </i>
    <i>
      <x v="1"/>
    </i>
    <i>
      <x v="2"/>
    </i>
    <i>
      <x v="3"/>
    </i>
    <i>
      <x v="4"/>
    </i>
    <i>
      <x v="5"/>
    </i>
    <i t="grand">
      <x/>
    </i>
  </rowItems>
  <colItems count="1">
    <i/>
  </colItems>
  <dataFields count="1">
    <dataField name="Count of HAZOP_ID" fld="0" subtotal="count" baseField="0" baseItem="0"/>
  </dataFields>
  <formats count="3">
    <format dxfId="10">
      <pivotArea type="all" dataOnly="0" outline="0" fieldPosition="0"/>
    </format>
    <format dxfId="9">
      <pivotArea outline="0" collapsedLevelsAreSubtotals="1" fieldPosition="0"/>
    </format>
    <format dxfId="8">
      <pivotArea dataOnly="0" labelOnly="1" outline="0" axis="axisValues" fieldPosition="0"/>
    </format>
  </formats>
  <chartFormats count="7">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3" count="1" selected="0">
            <x v="0"/>
          </reference>
        </references>
      </pivotArea>
    </chartFormat>
    <chartFormat chart="3" format="10">
      <pivotArea type="data" outline="0" fieldPosition="0">
        <references count="2">
          <reference field="4294967294" count="1" selected="0">
            <x v="0"/>
          </reference>
          <reference field="13" count="1" selected="0">
            <x v="1"/>
          </reference>
        </references>
      </pivotArea>
    </chartFormat>
    <chartFormat chart="3" format="11">
      <pivotArea type="data" outline="0" fieldPosition="0">
        <references count="2">
          <reference field="4294967294" count="1" selected="0">
            <x v="0"/>
          </reference>
          <reference field="13" count="1" selected="0">
            <x v="2"/>
          </reference>
        </references>
      </pivotArea>
    </chartFormat>
    <chartFormat chart="3" format="12">
      <pivotArea type="data" outline="0" fieldPosition="0">
        <references count="2">
          <reference field="4294967294" count="1" selected="0">
            <x v="0"/>
          </reference>
          <reference field="13" count="1" selected="0">
            <x v="3"/>
          </reference>
        </references>
      </pivotArea>
    </chartFormat>
    <chartFormat chart="3" format="13">
      <pivotArea type="data" outline="0" fieldPosition="0">
        <references count="2">
          <reference field="4294967294" count="1" selected="0">
            <x v="0"/>
          </reference>
          <reference field="13" count="1" selected="0">
            <x v="4"/>
          </reference>
        </references>
      </pivotArea>
    </chartFormat>
    <chartFormat chart="3" format="14">
      <pivotArea type="data" outline="0" fieldPosition="0">
        <references count="2">
          <reference field="4294967294" count="1" selected="0">
            <x v="0"/>
          </reference>
          <reference field="1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ABD798E-011B-4402-B7F0-02A58149CB09}" name="pvt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F7:G13" firstHeaderRow="1" firstDataRow="1" firstDataCol="1"/>
  <pivotFields count="19">
    <pivotField dataField="1" showAll="0"/>
    <pivotField numFmtId="14" showAll="0">
      <items count="146">
        <item x="55"/>
        <item x="4"/>
        <item x="120"/>
        <item x="144"/>
        <item x="138"/>
        <item x="17"/>
        <item x="117"/>
        <item x="38"/>
        <item x="81"/>
        <item x="54"/>
        <item x="63"/>
        <item x="103"/>
        <item x="21"/>
        <item x="29"/>
        <item x="34"/>
        <item x="101"/>
        <item x="86"/>
        <item x="52"/>
        <item x="18"/>
        <item x="24"/>
        <item x="41"/>
        <item x="118"/>
        <item x="114"/>
        <item x="32"/>
        <item x="136"/>
        <item x="83"/>
        <item x="78"/>
        <item x="36"/>
        <item x="30"/>
        <item x="65"/>
        <item x="48"/>
        <item x="91"/>
        <item x="53"/>
        <item x="135"/>
        <item x="28"/>
        <item x="96"/>
        <item x="47"/>
        <item x="130"/>
        <item x="6"/>
        <item x="12"/>
        <item x="71"/>
        <item x="116"/>
        <item x="68"/>
        <item x="127"/>
        <item x="26"/>
        <item x="112"/>
        <item x="79"/>
        <item x="57"/>
        <item x="67"/>
        <item x="125"/>
        <item x="22"/>
        <item x="50"/>
        <item x="15"/>
        <item x="3"/>
        <item x="33"/>
        <item x="77"/>
        <item x="93"/>
        <item x="84"/>
        <item x="88"/>
        <item x="139"/>
        <item x="61"/>
        <item x="107"/>
        <item x="20"/>
        <item x="14"/>
        <item x="49"/>
        <item x="35"/>
        <item x="87"/>
        <item x="132"/>
        <item x="0"/>
        <item x="121"/>
        <item x="94"/>
        <item x="27"/>
        <item x="37"/>
        <item x="104"/>
        <item x="13"/>
        <item x="45"/>
        <item x="110"/>
        <item x="75"/>
        <item x="105"/>
        <item x="72"/>
        <item x="126"/>
        <item x="25"/>
        <item x="89"/>
        <item x="39"/>
        <item x="108"/>
        <item x="10"/>
        <item x="80"/>
        <item x="109"/>
        <item x="92"/>
        <item x="119"/>
        <item x="142"/>
        <item x="85"/>
        <item x="62"/>
        <item x="106"/>
        <item x="40"/>
        <item x="70"/>
        <item x="102"/>
        <item x="19"/>
        <item x="64"/>
        <item x="56"/>
        <item x="23"/>
        <item x="8"/>
        <item x="60"/>
        <item x="66"/>
        <item x="124"/>
        <item x="140"/>
        <item x="95"/>
        <item x="111"/>
        <item x="5"/>
        <item x="131"/>
        <item x="43"/>
        <item x="2"/>
        <item x="99"/>
        <item x="42"/>
        <item x="76"/>
        <item x="31"/>
        <item x="11"/>
        <item x="123"/>
        <item x="58"/>
        <item x="1"/>
        <item x="115"/>
        <item x="73"/>
        <item x="122"/>
        <item x="98"/>
        <item x="129"/>
        <item x="128"/>
        <item x="90"/>
        <item x="97"/>
        <item x="133"/>
        <item x="141"/>
        <item x="113"/>
        <item x="82"/>
        <item x="7"/>
        <item x="46"/>
        <item x="44"/>
        <item x="16"/>
        <item x="74"/>
        <item x="143"/>
        <item x="59"/>
        <item x="9"/>
        <item x="134"/>
        <item x="100"/>
        <item x="69"/>
        <item x="137"/>
        <item x="51"/>
        <item t="default"/>
      </items>
    </pivotField>
    <pivotField showAll="0"/>
    <pivotField showAll="0"/>
    <pivotField showAll="0"/>
    <pivotField showAll="0"/>
    <pivotField showAll="0">
      <items count="15">
        <item x="5"/>
        <item x="9"/>
        <item x="7"/>
        <item x="11"/>
        <item x="0"/>
        <item x="8"/>
        <item x="6"/>
        <item x="2"/>
        <item x="3"/>
        <item x="1"/>
        <item x="13"/>
        <item x="4"/>
        <item x="12"/>
        <item x="10"/>
        <item t="default"/>
      </items>
    </pivotField>
    <pivotField showAll="0">
      <items count="9">
        <item x="7"/>
        <item x="3"/>
        <item x="2"/>
        <item x="6"/>
        <item x="1"/>
        <item x="4"/>
        <item x="0"/>
        <item x="5"/>
        <item t="default"/>
      </items>
    </pivotField>
    <pivotField showAll="0"/>
    <pivotField showAll="0">
      <items count="56">
        <item x="2"/>
        <item x="30"/>
        <item x="21"/>
        <item x="27"/>
        <item x="50"/>
        <item x="9"/>
        <item x="25"/>
        <item x="49"/>
        <item x="35"/>
        <item x="48"/>
        <item x="20"/>
        <item x="37"/>
        <item x="19"/>
        <item x="42"/>
        <item x="51"/>
        <item x="47"/>
        <item x="39"/>
        <item x="54"/>
        <item x="4"/>
        <item x="29"/>
        <item x="7"/>
        <item x="5"/>
        <item x="43"/>
        <item x="13"/>
        <item x="16"/>
        <item x="14"/>
        <item x="1"/>
        <item x="26"/>
        <item x="15"/>
        <item x="10"/>
        <item x="3"/>
        <item x="53"/>
        <item x="33"/>
        <item x="18"/>
        <item x="40"/>
        <item x="12"/>
        <item x="11"/>
        <item x="45"/>
        <item x="23"/>
        <item x="28"/>
        <item x="17"/>
        <item x="31"/>
        <item x="52"/>
        <item x="34"/>
        <item x="6"/>
        <item x="8"/>
        <item x="44"/>
        <item x="36"/>
        <item x="0"/>
        <item x="22"/>
        <item x="38"/>
        <item x="41"/>
        <item x="46"/>
        <item x="32"/>
        <item x="24"/>
        <item t="default"/>
      </items>
    </pivotField>
    <pivotField showAll="0">
      <items count="14">
        <item x="0"/>
        <item x="1"/>
        <item x="10"/>
        <item x="12"/>
        <item x="9"/>
        <item x="6"/>
        <item x="11"/>
        <item x="7"/>
        <item x="8"/>
        <item x="2"/>
        <item x="5"/>
        <item x="4"/>
        <item x="3"/>
        <item t="default"/>
      </items>
    </pivotField>
    <pivotField showAll="0"/>
    <pivotField showAll="0"/>
    <pivotField showAll="0"/>
    <pivotField showAll="0"/>
    <pivotField showAll="0"/>
    <pivotField axis="axisRow" showAll="0">
      <items count="8">
        <item x="3"/>
        <item x="5"/>
        <item x="4"/>
        <item h="1" x="1"/>
        <item h="1" x="2"/>
        <item x="6"/>
        <item x="0"/>
        <item t="default"/>
      </items>
    </pivotField>
    <pivotField showAll="0">
      <items count="5">
        <item x="2"/>
        <item x="3"/>
        <item x="0"/>
        <item x="1"/>
        <item t="default"/>
      </items>
    </pivotField>
    <pivotField showAll="0">
      <items count="7">
        <item x="1"/>
        <item x="0"/>
        <item m="1" x="5"/>
        <item x="2"/>
        <item x="3"/>
        <item x="4"/>
        <item t="default"/>
      </items>
    </pivotField>
  </pivotFields>
  <rowFields count="1">
    <field x="16"/>
  </rowFields>
  <rowItems count="6">
    <i>
      <x/>
    </i>
    <i>
      <x v="1"/>
    </i>
    <i>
      <x v="2"/>
    </i>
    <i>
      <x v="5"/>
    </i>
    <i>
      <x v="6"/>
    </i>
    <i t="grand">
      <x/>
    </i>
  </rowItems>
  <colItems count="1">
    <i/>
  </colItems>
  <dataFields count="1">
    <dataField name="Count of HAZOP_ID" fld="0" subtotal="count" baseField="0" baseItem="0"/>
  </dataFields>
  <formats count="3">
    <format dxfId="13">
      <pivotArea type="all" dataOnly="0" outline="0" fieldPosition="0"/>
    </format>
    <format dxfId="12">
      <pivotArea outline="0" collapsedLevelsAreSubtotals="1" fieldPosition="0"/>
    </format>
    <format dxfId="1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5CD77EA-DD04-4EFD-A041-DDBFB4EB9FAE}" name="pvt3" cacheId="0"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I7:I8" firstHeaderRow="1" firstDataRow="1" firstDataCol="0"/>
  <pivotFields count="19">
    <pivotField showAll="0"/>
    <pivotField numFmtId="14" showAll="0">
      <items count="146">
        <item x="55"/>
        <item x="4"/>
        <item x="120"/>
        <item x="144"/>
        <item x="138"/>
        <item x="17"/>
        <item x="117"/>
        <item x="38"/>
        <item x="81"/>
        <item x="54"/>
        <item x="63"/>
        <item x="103"/>
        <item x="21"/>
        <item x="29"/>
        <item x="34"/>
        <item x="101"/>
        <item x="86"/>
        <item x="52"/>
        <item x="18"/>
        <item x="24"/>
        <item x="41"/>
        <item x="118"/>
        <item x="114"/>
        <item x="32"/>
        <item x="136"/>
        <item x="83"/>
        <item x="78"/>
        <item x="36"/>
        <item x="30"/>
        <item x="65"/>
        <item x="48"/>
        <item x="91"/>
        <item x="53"/>
        <item x="135"/>
        <item x="28"/>
        <item x="96"/>
        <item x="47"/>
        <item x="130"/>
        <item x="6"/>
        <item x="12"/>
        <item x="71"/>
        <item x="116"/>
        <item x="68"/>
        <item x="127"/>
        <item x="26"/>
        <item x="112"/>
        <item x="79"/>
        <item x="57"/>
        <item x="67"/>
        <item x="125"/>
        <item x="22"/>
        <item x="50"/>
        <item x="15"/>
        <item x="3"/>
        <item x="33"/>
        <item x="77"/>
        <item x="93"/>
        <item x="84"/>
        <item x="88"/>
        <item x="139"/>
        <item x="61"/>
        <item x="107"/>
        <item x="20"/>
        <item x="14"/>
        <item x="49"/>
        <item x="35"/>
        <item x="87"/>
        <item x="132"/>
        <item x="0"/>
        <item x="121"/>
        <item x="94"/>
        <item x="27"/>
        <item x="37"/>
        <item x="104"/>
        <item x="13"/>
        <item x="45"/>
        <item x="110"/>
        <item x="75"/>
        <item x="105"/>
        <item x="72"/>
        <item x="126"/>
        <item x="25"/>
        <item x="89"/>
        <item x="39"/>
        <item x="108"/>
        <item x="10"/>
        <item x="80"/>
        <item x="109"/>
        <item x="92"/>
        <item x="119"/>
        <item x="142"/>
        <item x="85"/>
        <item x="62"/>
        <item x="106"/>
        <item x="40"/>
        <item x="70"/>
        <item x="102"/>
        <item x="19"/>
        <item x="64"/>
        <item x="56"/>
        <item x="23"/>
        <item x="8"/>
        <item x="60"/>
        <item x="66"/>
        <item x="124"/>
        <item x="140"/>
        <item x="95"/>
        <item x="111"/>
        <item x="5"/>
        <item x="131"/>
        <item x="43"/>
        <item x="2"/>
        <item x="99"/>
        <item x="42"/>
        <item x="76"/>
        <item x="31"/>
        <item x="11"/>
        <item x="123"/>
        <item x="58"/>
        <item x="1"/>
        <item x="115"/>
        <item x="73"/>
        <item x="122"/>
        <item x="98"/>
        <item x="129"/>
        <item x="128"/>
        <item x="90"/>
        <item x="97"/>
        <item x="133"/>
        <item x="141"/>
        <item x="113"/>
        <item x="82"/>
        <item x="7"/>
        <item x="46"/>
        <item x="44"/>
        <item x="16"/>
        <item x="74"/>
        <item x="143"/>
        <item x="59"/>
        <item x="9"/>
        <item x="134"/>
        <item x="100"/>
        <item x="69"/>
        <item x="137"/>
        <item x="51"/>
        <item t="default"/>
      </items>
    </pivotField>
    <pivotField showAll="0"/>
    <pivotField showAll="0"/>
    <pivotField showAll="0"/>
    <pivotField showAll="0"/>
    <pivotField showAll="0">
      <items count="15">
        <item x="5"/>
        <item x="9"/>
        <item x="7"/>
        <item x="11"/>
        <item x="0"/>
        <item x="8"/>
        <item x="6"/>
        <item x="2"/>
        <item x="3"/>
        <item x="1"/>
        <item x="13"/>
        <item x="4"/>
        <item x="12"/>
        <item x="10"/>
        <item t="default"/>
      </items>
    </pivotField>
    <pivotField showAll="0">
      <items count="9">
        <item x="7"/>
        <item x="3"/>
        <item x="2"/>
        <item x="6"/>
        <item x="1"/>
        <item x="4"/>
        <item x="0"/>
        <item x="5"/>
        <item t="default"/>
      </items>
    </pivotField>
    <pivotField showAll="0"/>
    <pivotField showAll="0">
      <items count="56">
        <item x="2"/>
        <item x="30"/>
        <item x="21"/>
        <item x="27"/>
        <item x="50"/>
        <item x="9"/>
        <item x="25"/>
        <item x="49"/>
        <item x="35"/>
        <item x="48"/>
        <item x="20"/>
        <item x="37"/>
        <item x="19"/>
        <item x="42"/>
        <item x="51"/>
        <item x="47"/>
        <item x="39"/>
        <item x="54"/>
        <item x="4"/>
        <item x="29"/>
        <item x="7"/>
        <item x="5"/>
        <item x="43"/>
        <item x="13"/>
        <item x="16"/>
        <item x="14"/>
        <item x="1"/>
        <item x="26"/>
        <item x="15"/>
        <item x="10"/>
        <item x="3"/>
        <item x="53"/>
        <item x="33"/>
        <item x="18"/>
        <item x="40"/>
        <item x="12"/>
        <item x="11"/>
        <item x="45"/>
        <item x="23"/>
        <item x="28"/>
        <item x="17"/>
        <item x="31"/>
        <item x="52"/>
        <item x="34"/>
        <item x="6"/>
        <item x="8"/>
        <item x="44"/>
        <item x="36"/>
        <item x="0"/>
        <item x="22"/>
        <item x="38"/>
        <item x="41"/>
        <item x="46"/>
        <item x="32"/>
        <item x="24"/>
        <item t="default"/>
      </items>
    </pivotField>
    <pivotField showAll="0">
      <items count="14">
        <item x="0"/>
        <item x="1"/>
        <item x="10"/>
        <item x="12"/>
        <item x="9"/>
        <item x="6"/>
        <item x="11"/>
        <item x="7"/>
        <item x="8"/>
        <item x="2"/>
        <item x="5"/>
        <item x="4"/>
        <item x="3"/>
        <item t="default"/>
      </items>
    </pivotField>
    <pivotField showAll="0"/>
    <pivotField showAll="0"/>
    <pivotField showAll="0"/>
    <pivotField showAll="0"/>
    <pivotField dataField="1" showAll="0"/>
    <pivotField showAll="0"/>
    <pivotField showAll="0">
      <items count="5">
        <item x="2"/>
        <item x="3"/>
        <item x="0"/>
        <item x="1"/>
        <item t="default"/>
      </items>
    </pivotField>
    <pivotField showAll="0">
      <items count="7">
        <item x="1"/>
        <item x="0"/>
        <item m="1" x="5"/>
        <item x="2"/>
        <item x="3"/>
        <item x="4"/>
        <item t="default"/>
      </items>
    </pivotField>
  </pivotFields>
  <rowItems count="1">
    <i/>
  </rowItems>
  <colItems count="1">
    <i/>
  </colItems>
  <dataFields count="1">
    <dataField name="Average of Risk Rating" fld="15" subtotal="average" baseField="0" baseItem="0" numFmtId="2"/>
  </dataFields>
  <formats count="4">
    <format dxfId="17">
      <pivotArea type="all" dataOnly="0" outline="0" fieldPosition="0"/>
    </format>
    <format dxfId="16">
      <pivotArea outline="0" collapsedLevelsAreSubtotals="1" fieldPosition="0"/>
    </format>
    <format dxfId="15">
      <pivotArea dataOnly="0" labelOnly="1" outline="0" axis="axisValues" fieldPosition="0"/>
    </format>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4B450CE-ACC7-4110-830E-D80E15BDD984}" name="pvt1" cacheId="0"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D7:D8" firstHeaderRow="1" firstDataRow="1" firstDataCol="0"/>
  <pivotFields count="19">
    <pivotField dataField="1" showAll="0"/>
    <pivotField numFmtId="14" showAll="0">
      <items count="146">
        <item x="55"/>
        <item x="4"/>
        <item x="120"/>
        <item x="144"/>
        <item x="138"/>
        <item x="17"/>
        <item x="117"/>
        <item x="38"/>
        <item x="81"/>
        <item x="54"/>
        <item x="63"/>
        <item x="103"/>
        <item x="21"/>
        <item x="29"/>
        <item x="34"/>
        <item x="101"/>
        <item x="86"/>
        <item x="52"/>
        <item x="18"/>
        <item x="24"/>
        <item x="41"/>
        <item x="118"/>
        <item x="114"/>
        <item x="32"/>
        <item x="136"/>
        <item x="83"/>
        <item x="78"/>
        <item x="36"/>
        <item x="30"/>
        <item x="65"/>
        <item x="48"/>
        <item x="91"/>
        <item x="53"/>
        <item x="135"/>
        <item x="28"/>
        <item x="96"/>
        <item x="47"/>
        <item x="130"/>
        <item x="6"/>
        <item x="12"/>
        <item x="71"/>
        <item x="116"/>
        <item x="68"/>
        <item x="127"/>
        <item x="26"/>
        <item x="112"/>
        <item x="79"/>
        <item x="57"/>
        <item x="67"/>
        <item x="125"/>
        <item x="22"/>
        <item x="50"/>
        <item x="15"/>
        <item x="3"/>
        <item x="33"/>
        <item x="77"/>
        <item x="93"/>
        <item x="84"/>
        <item x="88"/>
        <item x="139"/>
        <item x="61"/>
        <item x="107"/>
        <item x="20"/>
        <item x="14"/>
        <item x="49"/>
        <item x="35"/>
        <item x="87"/>
        <item x="132"/>
        <item x="0"/>
        <item x="121"/>
        <item x="94"/>
        <item x="27"/>
        <item x="37"/>
        <item x="104"/>
        <item x="13"/>
        <item x="45"/>
        <item x="110"/>
        <item x="75"/>
        <item x="105"/>
        <item x="72"/>
        <item x="126"/>
        <item x="25"/>
        <item x="89"/>
        <item x="39"/>
        <item x="108"/>
        <item x="10"/>
        <item x="80"/>
        <item x="109"/>
        <item x="92"/>
        <item x="119"/>
        <item x="142"/>
        <item x="85"/>
        <item x="62"/>
        <item x="106"/>
        <item x="40"/>
        <item x="70"/>
        <item x="102"/>
        <item x="19"/>
        <item x="64"/>
        <item x="56"/>
        <item x="23"/>
        <item x="8"/>
        <item x="60"/>
        <item x="66"/>
        <item x="124"/>
        <item x="140"/>
        <item x="95"/>
        <item x="111"/>
        <item x="5"/>
        <item x="131"/>
        <item x="43"/>
        <item x="2"/>
        <item x="99"/>
        <item x="42"/>
        <item x="76"/>
        <item x="31"/>
        <item x="11"/>
        <item x="123"/>
        <item x="58"/>
        <item x="1"/>
        <item x="115"/>
        <item x="73"/>
        <item x="122"/>
        <item x="98"/>
        <item x="129"/>
        <item x="128"/>
        <item x="90"/>
        <item x="97"/>
        <item x="133"/>
        <item x="141"/>
        <item x="113"/>
        <item x="82"/>
        <item x="7"/>
        <item x="46"/>
        <item x="44"/>
        <item x="16"/>
        <item x="74"/>
        <item x="143"/>
        <item x="59"/>
        <item x="9"/>
        <item x="134"/>
        <item x="100"/>
        <item x="69"/>
        <item x="137"/>
        <item x="51"/>
        <item t="default"/>
      </items>
    </pivotField>
    <pivotField showAll="0"/>
    <pivotField showAll="0"/>
    <pivotField showAll="0"/>
    <pivotField showAll="0"/>
    <pivotField showAll="0">
      <items count="15">
        <item x="5"/>
        <item x="9"/>
        <item x="7"/>
        <item x="11"/>
        <item x="0"/>
        <item x="8"/>
        <item x="6"/>
        <item x="2"/>
        <item x="3"/>
        <item x="1"/>
        <item x="13"/>
        <item x="4"/>
        <item x="12"/>
        <item x="10"/>
        <item t="default"/>
      </items>
    </pivotField>
    <pivotField showAll="0">
      <items count="9">
        <item x="7"/>
        <item x="3"/>
        <item x="2"/>
        <item x="6"/>
        <item x="1"/>
        <item x="4"/>
        <item x="0"/>
        <item x="5"/>
        <item t="default"/>
      </items>
    </pivotField>
    <pivotField showAll="0"/>
    <pivotField showAll="0">
      <items count="56">
        <item x="2"/>
        <item x="30"/>
        <item x="21"/>
        <item x="27"/>
        <item x="50"/>
        <item x="9"/>
        <item x="25"/>
        <item x="49"/>
        <item x="35"/>
        <item x="48"/>
        <item x="20"/>
        <item x="37"/>
        <item x="19"/>
        <item x="42"/>
        <item x="51"/>
        <item x="47"/>
        <item x="39"/>
        <item x="54"/>
        <item x="4"/>
        <item x="29"/>
        <item x="7"/>
        <item x="5"/>
        <item x="43"/>
        <item x="13"/>
        <item x="16"/>
        <item x="14"/>
        <item x="1"/>
        <item x="26"/>
        <item x="15"/>
        <item x="10"/>
        <item x="3"/>
        <item x="53"/>
        <item x="33"/>
        <item x="18"/>
        <item x="40"/>
        <item x="12"/>
        <item x="11"/>
        <item x="45"/>
        <item x="23"/>
        <item x="28"/>
        <item x="17"/>
        <item x="31"/>
        <item x="52"/>
        <item x="34"/>
        <item x="6"/>
        <item x="8"/>
        <item x="44"/>
        <item x="36"/>
        <item x="0"/>
        <item x="22"/>
        <item x="38"/>
        <item x="41"/>
        <item x="46"/>
        <item x="32"/>
        <item x="24"/>
        <item t="default"/>
      </items>
    </pivotField>
    <pivotField showAll="0">
      <items count="14">
        <item x="0"/>
        <item x="1"/>
        <item x="10"/>
        <item x="12"/>
        <item x="9"/>
        <item x="6"/>
        <item x="11"/>
        <item x="7"/>
        <item x="8"/>
        <item x="2"/>
        <item x="5"/>
        <item x="4"/>
        <item x="3"/>
        <item t="default"/>
      </items>
    </pivotField>
    <pivotField showAll="0"/>
    <pivotField showAll="0"/>
    <pivotField showAll="0"/>
    <pivotField showAll="0"/>
    <pivotField showAll="0"/>
    <pivotField showAll="0"/>
    <pivotField showAll="0">
      <items count="5">
        <item x="2"/>
        <item x="3"/>
        <item x="0"/>
        <item x="1"/>
        <item t="default"/>
      </items>
    </pivotField>
    <pivotField showAll="0">
      <items count="7">
        <item x="1"/>
        <item x="0"/>
        <item m="1" x="5"/>
        <item x="2"/>
        <item x="3"/>
        <item x="4"/>
        <item t="default"/>
      </items>
    </pivotField>
  </pivotFields>
  <rowItems count="1">
    <i/>
  </rowItems>
  <colItems count="1">
    <i/>
  </colItems>
  <dataFields count="1">
    <dataField name="Count of HAZOP_ID" fld="0" subtotal="count" baseField="0" baseItem="0"/>
  </dataFields>
  <formats count="3">
    <format dxfId="20">
      <pivotArea type="all" dataOnly="0" outline="0" fieldPosition="0"/>
    </format>
    <format dxfId="19">
      <pivotArea outline="0" collapsedLevelsAreSubtotals="1" fieldPosition="0"/>
    </format>
    <format dxfId="1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40E2E7E-80A2-4E0B-8084-D3C0A02811B2}" name="pvt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B41:C47" firstHeaderRow="1" firstDataRow="1" firstDataCol="1"/>
  <pivotFields count="19">
    <pivotField dataField="1" showAll="0"/>
    <pivotField numFmtId="14" showAll="0">
      <items count="146">
        <item x="55"/>
        <item x="4"/>
        <item x="120"/>
        <item x="144"/>
        <item x="138"/>
        <item x="17"/>
        <item x="117"/>
        <item x="38"/>
        <item x="81"/>
        <item x="54"/>
        <item x="63"/>
        <item x="103"/>
        <item x="21"/>
        <item x="29"/>
        <item x="34"/>
        <item x="101"/>
        <item x="86"/>
        <item x="52"/>
        <item x="18"/>
        <item x="24"/>
        <item x="41"/>
        <item x="118"/>
        <item x="114"/>
        <item x="32"/>
        <item x="136"/>
        <item x="83"/>
        <item x="78"/>
        <item x="36"/>
        <item x="30"/>
        <item x="65"/>
        <item x="48"/>
        <item x="91"/>
        <item x="53"/>
        <item x="135"/>
        <item x="28"/>
        <item x="96"/>
        <item x="47"/>
        <item x="130"/>
        <item x="6"/>
        <item x="12"/>
        <item x="71"/>
        <item x="116"/>
        <item x="68"/>
        <item x="127"/>
        <item x="26"/>
        <item x="112"/>
        <item x="79"/>
        <item x="57"/>
        <item x="67"/>
        <item x="125"/>
        <item x="22"/>
        <item x="50"/>
        <item x="15"/>
        <item x="3"/>
        <item x="33"/>
        <item x="77"/>
        <item x="93"/>
        <item x="84"/>
        <item x="88"/>
        <item x="139"/>
        <item x="61"/>
        <item x="107"/>
        <item x="20"/>
        <item x="14"/>
        <item x="49"/>
        <item x="35"/>
        <item x="87"/>
        <item x="132"/>
        <item x="0"/>
        <item x="121"/>
        <item x="94"/>
        <item x="27"/>
        <item x="37"/>
        <item x="104"/>
        <item x="13"/>
        <item x="45"/>
        <item x="110"/>
        <item x="75"/>
        <item x="105"/>
        <item x="72"/>
        <item x="126"/>
        <item x="25"/>
        <item x="89"/>
        <item x="39"/>
        <item x="108"/>
        <item x="10"/>
        <item x="80"/>
        <item x="109"/>
        <item x="92"/>
        <item x="119"/>
        <item x="142"/>
        <item x="85"/>
        <item x="62"/>
        <item x="106"/>
        <item x="40"/>
        <item x="70"/>
        <item x="102"/>
        <item x="19"/>
        <item x="64"/>
        <item x="56"/>
        <item x="23"/>
        <item x="8"/>
        <item x="60"/>
        <item x="66"/>
        <item x="124"/>
        <item x="140"/>
        <item x="95"/>
        <item x="111"/>
        <item x="5"/>
        <item x="131"/>
        <item x="43"/>
        <item x="2"/>
        <item x="99"/>
        <item x="42"/>
        <item x="76"/>
        <item x="31"/>
        <item x="11"/>
        <item x="123"/>
        <item x="58"/>
        <item x="1"/>
        <item x="115"/>
        <item x="73"/>
        <item x="122"/>
        <item x="98"/>
        <item x="129"/>
        <item x="128"/>
        <item x="90"/>
        <item x="97"/>
        <item x="133"/>
        <item x="141"/>
        <item x="113"/>
        <item x="82"/>
        <item x="7"/>
        <item x="46"/>
        <item x="44"/>
        <item x="16"/>
        <item x="74"/>
        <item x="143"/>
        <item x="59"/>
        <item x="9"/>
        <item x="134"/>
        <item x="100"/>
        <item x="69"/>
        <item x="137"/>
        <item x="51"/>
        <item t="default"/>
      </items>
    </pivotField>
    <pivotField showAll="0"/>
    <pivotField showAll="0"/>
    <pivotField showAll="0"/>
    <pivotField showAll="0"/>
    <pivotField showAll="0">
      <items count="15">
        <item x="5"/>
        <item x="9"/>
        <item x="7"/>
        <item x="11"/>
        <item x="0"/>
        <item x="8"/>
        <item x="6"/>
        <item x="2"/>
        <item x="3"/>
        <item x="1"/>
        <item x="13"/>
        <item x="4"/>
        <item x="12"/>
        <item x="10"/>
        <item t="default"/>
      </items>
    </pivotField>
    <pivotField showAll="0">
      <items count="9">
        <item x="7"/>
        <item x="3"/>
        <item x="2"/>
        <item x="6"/>
        <item x="1"/>
        <item x="4"/>
        <item x="0"/>
        <item x="5"/>
        <item t="default"/>
      </items>
    </pivotField>
    <pivotField showAll="0"/>
    <pivotField showAll="0">
      <items count="56">
        <item x="2"/>
        <item x="30"/>
        <item x="21"/>
        <item x="27"/>
        <item x="50"/>
        <item x="9"/>
        <item x="25"/>
        <item x="49"/>
        <item x="35"/>
        <item x="48"/>
        <item x="20"/>
        <item x="37"/>
        <item x="19"/>
        <item x="42"/>
        <item x="51"/>
        <item x="47"/>
        <item x="39"/>
        <item x="54"/>
        <item x="4"/>
        <item x="29"/>
        <item x="7"/>
        <item x="5"/>
        <item x="43"/>
        <item x="13"/>
        <item x="16"/>
        <item x="14"/>
        <item x="1"/>
        <item x="26"/>
        <item x="15"/>
        <item x="10"/>
        <item x="3"/>
        <item x="53"/>
        <item x="33"/>
        <item x="18"/>
        <item x="40"/>
        <item x="12"/>
        <item x="11"/>
        <item x="45"/>
        <item x="23"/>
        <item x="28"/>
        <item x="17"/>
        <item x="31"/>
        <item x="52"/>
        <item x="34"/>
        <item x="6"/>
        <item x="8"/>
        <item x="44"/>
        <item x="36"/>
        <item x="0"/>
        <item x="22"/>
        <item x="38"/>
        <item x="41"/>
        <item x="46"/>
        <item x="32"/>
        <item x="24"/>
        <item t="default"/>
      </items>
    </pivotField>
    <pivotField showAll="0">
      <items count="14">
        <item x="0"/>
        <item x="1"/>
        <item x="10"/>
        <item x="12"/>
        <item x="9"/>
        <item x="6"/>
        <item x="11"/>
        <item x="7"/>
        <item x="8"/>
        <item x="2"/>
        <item x="5"/>
        <item x="4"/>
        <item x="3"/>
        <item t="default"/>
      </items>
    </pivotField>
    <pivotField showAll="0"/>
    <pivotField showAll="0"/>
    <pivotField showAll="0"/>
    <pivotField showAll="0"/>
    <pivotField showAll="0"/>
    <pivotField showAll="0"/>
    <pivotField showAll="0">
      <items count="5">
        <item x="2"/>
        <item x="3"/>
        <item x="0"/>
        <item x="1"/>
        <item t="default"/>
      </items>
    </pivotField>
    <pivotField axis="axisRow" showAll="0">
      <items count="7">
        <item x="1"/>
        <item x="0"/>
        <item m="1" x="5"/>
        <item x="2"/>
        <item x="3"/>
        <item x="4"/>
        <item t="default"/>
      </items>
    </pivotField>
  </pivotFields>
  <rowFields count="1">
    <field x="18"/>
  </rowFields>
  <rowItems count="6">
    <i>
      <x/>
    </i>
    <i>
      <x v="1"/>
    </i>
    <i>
      <x v="3"/>
    </i>
    <i>
      <x v="4"/>
    </i>
    <i>
      <x v="5"/>
    </i>
    <i t="grand">
      <x/>
    </i>
  </rowItems>
  <colItems count="1">
    <i/>
  </colItems>
  <dataFields count="1">
    <dataField name="Count of HAZOP_ID" fld="0" subtotal="count" baseField="18" baseItem="1"/>
  </dataFields>
  <chartFormats count="6">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18" count="1" selected="0">
            <x v="0"/>
          </reference>
        </references>
      </pivotArea>
    </chartFormat>
    <chartFormat chart="3" format="14">
      <pivotArea type="data" outline="0" fieldPosition="0">
        <references count="2">
          <reference field="4294967294" count="1" selected="0">
            <x v="0"/>
          </reference>
          <reference field="18" count="1" selected="0">
            <x v="1"/>
          </reference>
        </references>
      </pivotArea>
    </chartFormat>
    <chartFormat chart="3" format="15">
      <pivotArea type="data" outline="0" fieldPosition="0">
        <references count="2">
          <reference field="4294967294" count="1" selected="0">
            <x v="0"/>
          </reference>
          <reference field="18" count="1" selected="0">
            <x v="3"/>
          </reference>
        </references>
      </pivotArea>
    </chartFormat>
    <chartFormat chart="3" format="16">
      <pivotArea type="data" outline="0" fieldPosition="0">
        <references count="2">
          <reference field="4294967294" count="1" selected="0">
            <x v="0"/>
          </reference>
          <reference field="18" count="1" selected="0">
            <x v="4"/>
          </reference>
        </references>
      </pivotArea>
    </chartFormat>
    <chartFormat chart="3" format="17">
      <pivotArea type="data" outline="0" fieldPosition="0">
        <references count="2">
          <reference field="4294967294" count="1" selected="0">
            <x v="0"/>
          </reference>
          <reference field="18"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598F856-534C-41EB-9A5A-B36D2DFE7272}" name="pvt5"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4">
  <location ref="B24:C39" firstHeaderRow="1" firstDataRow="1" firstDataCol="1"/>
  <pivotFields count="19">
    <pivotField showAll="0"/>
    <pivotField numFmtId="14" showAll="0">
      <items count="146">
        <item x="55"/>
        <item x="4"/>
        <item x="120"/>
        <item x="144"/>
        <item x="138"/>
        <item x="17"/>
        <item x="117"/>
        <item x="38"/>
        <item x="81"/>
        <item x="54"/>
        <item x="63"/>
        <item x="103"/>
        <item x="21"/>
        <item x="29"/>
        <item x="34"/>
        <item x="101"/>
        <item x="86"/>
        <item x="52"/>
        <item x="18"/>
        <item x="24"/>
        <item x="41"/>
        <item x="118"/>
        <item x="114"/>
        <item x="32"/>
        <item x="136"/>
        <item x="83"/>
        <item x="78"/>
        <item x="36"/>
        <item x="30"/>
        <item x="65"/>
        <item x="48"/>
        <item x="91"/>
        <item x="53"/>
        <item x="135"/>
        <item x="28"/>
        <item x="96"/>
        <item x="47"/>
        <item x="130"/>
        <item x="6"/>
        <item x="12"/>
        <item x="71"/>
        <item x="116"/>
        <item x="68"/>
        <item x="127"/>
        <item x="26"/>
        <item x="112"/>
        <item x="79"/>
        <item x="57"/>
        <item x="67"/>
        <item x="125"/>
        <item x="22"/>
        <item x="50"/>
        <item x="15"/>
        <item x="3"/>
        <item x="33"/>
        <item x="77"/>
        <item x="93"/>
        <item x="84"/>
        <item x="88"/>
        <item x="139"/>
        <item x="61"/>
        <item x="107"/>
        <item x="20"/>
        <item x="14"/>
        <item x="49"/>
        <item x="35"/>
        <item x="87"/>
        <item x="132"/>
        <item x="0"/>
        <item x="121"/>
        <item x="94"/>
        <item x="27"/>
        <item x="37"/>
        <item x="104"/>
        <item x="13"/>
        <item x="45"/>
        <item x="110"/>
        <item x="75"/>
        <item x="105"/>
        <item x="72"/>
        <item x="126"/>
        <item x="25"/>
        <item x="89"/>
        <item x="39"/>
        <item x="108"/>
        <item x="10"/>
        <item x="80"/>
        <item x="109"/>
        <item x="92"/>
        <item x="119"/>
        <item x="142"/>
        <item x="85"/>
        <item x="62"/>
        <item x="106"/>
        <item x="40"/>
        <item x="70"/>
        <item x="102"/>
        <item x="19"/>
        <item x="64"/>
        <item x="56"/>
        <item x="23"/>
        <item x="8"/>
        <item x="60"/>
        <item x="66"/>
        <item x="124"/>
        <item x="140"/>
        <item x="95"/>
        <item x="111"/>
        <item x="5"/>
        <item x="131"/>
        <item x="43"/>
        <item x="2"/>
        <item x="99"/>
        <item x="42"/>
        <item x="76"/>
        <item x="31"/>
        <item x="11"/>
        <item x="123"/>
        <item x="58"/>
        <item x="1"/>
        <item x="115"/>
        <item x="73"/>
        <item x="122"/>
        <item x="98"/>
        <item x="129"/>
        <item x="128"/>
        <item x="90"/>
        <item x="97"/>
        <item x="133"/>
        <item x="141"/>
        <item x="113"/>
        <item x="82"/>
        <item x="7"/>
        <item x="46"/>
        <item x="44"/>
        <item x="16"/>
        <item x="74"/>
        <item x="143"/>
        <item x="59"/>
        <item x="9"/>
        <item x="134"/>
        <item x="100"/>
        <item x="69"/>
        <item x="137"/>
        <item x="51"/>
        <item t="default"/>
      </items>
    </pivotField>
    <pivotField showAll="0"/>
    <pivotField showAll="0"/>
    <pivotField showAll="0"/>
    <pivotField showAll="0"/>
    <pivotField axis="axisRow" showAll="0">
      <items count="15">
        <item x="5"/>
        <item x="9"/>
        <item x="7"/>
        <item x="11"/>
        <item x="0"/>
        <item x="8"/>
        <item x="6"/>
        <item x="2"/>
        <item x="3"/>
        <item x="1"/>
        <item x="13"/>
        <item x="4"/>
        <item x="12"/>
        <item x="10"/>
        <item t="default"/>
      </items>
    </pivotField>
    <pivotField showAll="0">
      <items count="9">
        <item x="7"/>
        <item x="3"/>
        <item x="2"/>
        <item x="6"/>
        <item x="1"/>
        <item x="4"/>
        <item x="0"/>
        <item x="5"/>
        <item t="default"/>
      </items>
    </pivotField>
    <pivotField showAll="0"/>
    <pivotField showAll="0">
      <items count="56">
        <item x="2"/>
        <item x="30"/>
        <item x="21"/>
        <item x="27"/>
        <item x="50"/>
        <item x="9"/>
        <item x="25"/>
        <item x="49"/>
        <item x="35"/>
        <item x="48"/>
        <item x="20"/>
        <item x="37"/>
        <item x="19"/>
        <item x="42"/>
        <item x="51"/>
        <item x="47"/>
        <item x="39"/>
        <item x="54"/>
        <item x="4"/>
        <item x="29"/>
        <item x="7"/>
        <item x="5"/>
        <item x="43"/>
        <item x="13"/>
        <item x="16"/>
        <item x="14"/>
        <item x="1"/>
        <item x="26"/>
        <item x="15"/>
        <item x="10"/>
        <item x="3"/>
        <item x="53"/>
        <item x="33"/>
        <item x="18"/>
        <item x="40"/>
        <item x="12"/>
        <item x="11"/>
        <item x="45"/>
        <item x="23"/>
        <item x="28"/>
        <item x="17"/>
        <item x="31"/>
        <item x="52"/>
        <item x="34"/>
        <item x="6"/>
        <item x="8"/>
        <item x="44"/>
        <item x="36"/>
        <item x="0"/>
        <item x="22"/>
        <item x="38"/>
        <item x="41"/>
        <item x="46"/>
        <item x="32"/>
        <item x="24"/>
        <item t="default"/>
      </items>
    </pivotField>
    <pivotField showAll="0">
      <items count="14">
        <item x="0"/>
        <item x="1"/>
        <item x="10"/>
        <item x="12"/>
        <item x="9"/>
        <item x="6"/>
        <item x="11"/>
        <item x="7"/>
        <item x="8"/>
        <item x="2"/>
        <item x="5"/>
        <item x="4"/>
        <item x="3"/>
        <item t="default"/>
      </items>
    </pivotField>
    <pivotField showAll="0"/>
    <pivotField showAll="0"/>
    <pivotField showAll="0"/>
    <pivotField showAll="0"/>
    <pivotField dataField="1" showAll="0"/>
    <pivotField showAll="0"/>
    <pivotField showAll="0">
      <items count="5">
        <item x="2"/>
        <item x="3"/>
        <item x="0"/>
        <item x="1"/>
        <item t="default"/>
      </items>
    </pivotField>
    <pivotField showAll="0">
      <items count="7">
        <item x="1"/>
        <item x="0"/>
        <item m="1" x="5"/>
        <item x="2"/>
        <item x="3"/>
        <item x="4"/>
        <item t="default"/>
      </items>
    </pivotField>
  </pivotFields>
  <rowFields count="1">
    <field x="6"/>
  </rowFields>
  <rowItems count="15">
    <i>
      <x/>
    </i>
    <i>
      <x v="1"/>
    </i>
    <i>
      <x v="2"/>
    </i>
    <i>
      <x v="3"/>
    </i>
    <i>
      <x v="4"/>
    </i>
    <i>
      <x v="5"/>
    </i>
    <i>
      <x v="6"/>
    </i>
    <i>
      <x v="7"/>
    </i>
    <i>
      <x v="8"/>
    </i>
    <i>
      <x v="9"/>
    </i>
    <i>
      <x v="10"/>
    </i>
    <i>
      <x v="11"/>
    </i>
    <i>
      <x v="12"/>
    </i>
    <i>
      <x v="13"/>
    </i>
    <i t="grand">
      <x/>
    </i>
  </rowItems>
  <colItems count="1">
    <i/>
  </colItems>
  <dataFields count="1">
    <dataField name="Sum of Risk Rating" fld="15" baseField="6" baseItem="1"/>
  </dataFields>
  <formats count="3">
    <format dxfId="23">
      <pivotArea type="all" dataOnly="0" outline="0" fieldPosition="0"/>
    </format>
    <format dxfId="22">
      <pivotArea outline="0" collapsedLevelsAreSubtotals="1" fieldPosition="0"/>
    </format>
    <format dxfId="21">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1032507-ACB2-4F6A-B175-4276C9DD390E}" name="pvt11"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4">
  <location ref="B66:C79" firstHeaderRow="1" firstDataRow="1" firstDataCol="1"/>
  <pivotFields count="19">
    <pivotField showAll="0"/>
    <pivotField numFmtId="14" showAll="0">
      <items count="146">
        <item x="55"/>
        <item x="4"/>
        <item x="120"/>
        <item x="144"/>
        <item x="138"/>
        <item x="17"/>
        <item x="117"/>
        <item x="38"/>
        <item x="81"/>
        <item x="54"/>
        <item x="63"/>
        <item x="103"/>
        <item x="21"/>
        <item x="29"/>
        <item x="34"/>
        <item x="101"/>
        <item x="86"/>
        <item x="52"/>
        <item x="18"/>
        <item x="24"/>
        <item x="41"/>
        <item x="118"/>
        <item x="114"/>
        <item x="32"/>
        <item x="136"/>
        <item x="83"/>
        <item x="78"/>
        <item x="36"/>
        <item x="30"/>
        <item x="65"/>
        <item x="48"/>
        <item x="91"/>
        <item x="53"/>
        <item x="135"/>
        <item x="28"/>
        <item x="96"/>
        <item x="47"/>
        <item x="130"/>
        <item x="6"/>
        <item x="12"/>
        <item x="71"/>
        <item x="116"/>
        <item x="68"/>
        <item x="127"/>
        <item x="26"/>
        <item x="112"/>
        <item x="79"/>
        <item x="57"/>
        <item x="67"/>
        <item x="125"/>
        <item x="22"/>
        <item x="50"/>
        <item x="15"/>
        <item x="3"/>
        <item x="33"/>
        <item x="77"/>
        <item x="93"/>
        <item x="84"/>
        <item x="88"/>
        <item x="139"/>
        <item x="61"/>
        <item x="107"/>
        <item x="20"/>
        <item x="14"/>
        <item x="49"/>
        <item x="35"/>
        <item x="87"/>
        <item x="132"/>
        <item x="0"/>
        <item x="121"/>
        <item x="94"/>
        <item x="27"/>
        <item x="37"/>
        <item x="104"/>
        <item x="13"/>
        <item x="45"/>
        <item x="110"/>
        <item x="75"/>
        <item x="105"/>
        <item x="72"/>
        <item x="126"/>
        <item x="25"/>
        <item x="89"/>
        <item x="39"/>
        <item x="108"/>
        <item x="10"/>
        <item x="80"/>
        <item x="109"/>
        <item x="92"/>
        <item x="119"/>
        <item x="142"/>
        <item x="85"/>
        <item x="62"/>
        <item x="106"/>
        <item x="40"/>
        <item x="70"/>
        <item x="102"/>
        <item x="19"/>
        <item x="64"/>
        <item x="56"/>
        <item x="23"/>
        <item x="8"/>
        <item x="60"/>
        <item x="66"/>
        <item x="124"/>
        <item x="140"/>
        <item x="95"/>
        <item x="111"/>
        <item x="5"/>
        <item x="131"/>
        <item x="43"/>
        <item x="2"/>
        <item x="99"/>
        <item x="42"/>
        <item x="76"/>
        <item x="31"/>
        <item x="11"/>
        <item x="123"/>
        <item x="58"/>
        <item x="1"/>
        <item x="115"/>
        <item x="73"/>
        <item x="122"/>
        <item x="98"/>
        <item x="129"/>
        <item x="128"/>
        <item x="90"/>
        <item x="97"/>
        <item x="133"/>
        <item x="141"/>
        <item x="113"/>
        <item x="82"/>
        <item x="7"/>
        <item x="46"/>
        <item x="44"/>
        <item x="16"/>
        <item x="74"/>
        <item x="143"/>
        <item x="59"/>
        <item x="9"/>
        <item x="134"/>
        <item x="100"/>
        <item x="69"/>
        <item x="137"/>
        <item x="51"/>
        <item t="default"/>
      </items>
    </pivotField>
    <pivotField showAll="0"/>
    <pivotField showAll="0"/>
    <pivotField axis="axisRow" showAll="0">
      <items count="13">
        <item x="0"/>
        <item x="7"/>
        <item x="6"/>
        <item x="10"/>
        <item x="4"/>
        <item x="2"/>
        <item x="1"/>
        <item x="9"/>
        <item x="11"/>
        <item x="3"/>
        <item x="5"/>
        <item x="8"/>
        <item t="default"/>
      </items>
    </pivotField>
    <pivotField showAll="0"/>
    <pivotField showAll="0">
      <items count="15">
        <item x="5"/>
        <item x="9"/>
        <item x="7"/>
        <item x="11"/>
        <item x="0"/>
        <item x="8"/>
        <item x="6"/>
        <item x="2"/>
        <item x="3"/>
        <item x="1"/>
        <item x="13"/>
        <item x="4"/>
        <item x="12"/>
        <item x="10"/>
        <item t="default"/>
      </items>
    </pivotField>
    <pivotField showAll="0">
      <items count="9">
        <item x="7"/>
        <item x="3"/>
        <item x="2"/>
        <item x="6"/>
        <item x="1"/>
        <item x="4"/>
        <item x="0"/>
        <item x="5"/>
        <item t="default"/>
      </items>
    </pivotField>
    <pivotField showAll="0"/>
    <pivotField showAll="0">
      <items count="56">
        <item x="2"/>
        <item x="30"/>
        <item x="21"/>
        <item x="27"/>
        <item x="50"/>
        <item x="9"/>
        <item x="25"/>
        <item x="49"/>
        <item x="35"/>
        <item x="48"/>
        <item x="20"/>
        <item x="37"/>
        <item x="19"/>
        <item x="42"/>
        <item x="51"/>
        <item x="47"/>
        <item x="39"/>
        <item x="54"/>
        <item x="4"/>
        <item x="29"/>
        <item x="7"/>
        <item x="5"/>
        <item x="43"/>
        <item x="13"/>
        <item x="16"/>
        <item x="14"/>
        <item x="1"/>
        <item x="26"/>
        <item x="15"/>
        <item x="10"/>
        <item x="3"/>
        <item x="53"/>
        <item x="33"/>
        <item x="18"/>
        <item x="40"/>
        <item x="12"/>
        <item x="11"/>
        <item x="45"/>
        <item x="23"/>
        <item x="28"/>
        <item x="17"/>
        <item x="31"/>
        <item x="52"/>
        <item x="34"/>
        <item x="6"/>
        <item x="8"/>
        <item x="44"/>
        <item x="36"/>
        <item x="0"/>
        <item x="22"/>
        <item x="38"/>
        <item x="41"/>
        <item x="46"/>
        <item x="32"/>
        <item x="24"/>
        <item t="default"/>
      </items>
    </pivotField>
    <pivotField showAll="0">
      <items count="14">
        <item x="0"/>
        <item x="1"/>
        <item x="10"/>
        <item x="12"/>
        <item x="9"/>
        <item x="6"/>
        <item x="11"/>
        <item x="7"/>
        <item x="8"/>
        <item x="2"/>
        <item x="5"/>
        <item x="4"/>
        <item x="3"/>
        <item t="default"/>
      </items>
    </pivotField>
    <pivotField showAll="0"/>
    <pivotField showAll="0"/>
    <pivotField showAll="0"/>
    <pivotField showAll="0"/>
    <pivotField dataField="1" showAll="0"/>
    <pivotField showAll="0"/>
    <pivotField showAll="0">
      <items count="5">
        <item x="2"/>
        <item x="3"/>
        <item x="0"/>
        <item x="1"/>
        <item t="default"/>
      </items>
    </pivotField>
    <pivotField showAll="0">
      <items count="7">
        <item x="1"/>
        <item x="0"/>
        <item m="1" x="5"/>
        <item x="2"/>
        <item x="3"/>
        <item x="4"/>
        <item t="default"/>
      </items>
    </pivotField>
  </pivotFields>
  <rowFields count="1">
    <field x="4"/>
  </rowFields>
  <rowItems count="13">
    <i>
      <x/>
    </i>
    <i>
      <x v="1"/>
    </i>
    <i>
      <x v="2"/>
    </i>
    <i>
      <x v="3"/>
    </i>
    <i>
      <x v="4"/>
    </i>
    <i>
      <x v="5"/>
    </i>
    <i>
      <x v="6"/>
    </i>
    <i>
      <x v="7"/>
    </i>
    <i>
      <x v="8"/>
    </i>
    <i>
      <x v="9"/>
    </i>
    <i>
      <x v="10"/>
    </i>
    <i>
      <x v="11"/>
    </i>
    <i t="grand">
      <x/>
    </i>
  </rowItems>
  <colItems count="1">
    <i/>
  </colItems>
  <dataFields count="1">
    <dataField name="Average of Risk Rating" fld="15" subtotal="average" baseField="0" baseItem="0"/>
  </dataFields>
  <formats count="3">
    <format dxfId="26">
      <pivotArea type="all" dataOnly="0" outline="0" fieldPosition="0"/>
    </format>
    <format dxfId="25">
      <pivotArea outline="0" collapsedLevelsAreSubtotals="1" fieldPosition="0"/>
    </format>
    <format dxfId="24">
      <pivotArea dataOnly="0" labelOnly="1" outline="0" axis="axisValues" fieldPosition="0"/>
    </format>
  </formats>
  <chartFormats count="13">
    <chartFormat chart="3" format="26" series="1">
      <pivotArea type="data" outline="0" fieldPosition="0">
        <references count="1">
          <reference field="4294967294" count="1" selected="0">
            <x v="0"/>
          </reference>
        </references>
      </pivotArea>
    </chartFormat>
    <chartFormat chart="3" format="27">
      <pivotArea type="data" outline="0" fieldPosition="0">
        <references count="2">
          <reference field="4294967294" count="1" selected="0">
            <x v="0"/>
          </reference>
          <reference field="4" count="1" selected="0">
            <x v="0"/>
          </reference>
        </references>
      </pivotArea>
    </chartFormat>
    <chartFormat chart="3" format="28">
      <pivotArea type="data" outline="0" fieldPosition="0">
        <references count="2">
          <reference field="4294967294" count="1" selected="0">
            <x v="0"/>
          </reference>
          <reference field="4" count="1" selected="0">
            <x v="1"/>
          </reference>
        </references>
      </pivotArea>
    </chartFormat>
    <chartFormat chart="3" format="29">
      <pivotArea type="data" outline="0" fieldPosition="0">
        <references count="2">
          <reference field="4294967294" count="1" selected="0">
            <x v="0"/>
          </reference>
          <reference field="4" count="1" selected="0">
            <x v="2"/>
          </reference>
        </references>
      </pivotArea>
    </chartFormat>
    <chartFormat chart="3" format="30">
      <pivotArea type="data" outline="0" fieldPosition="0">
        <references count="2">
          <reference field="4294967294" count="1" selected="0">
            <x v="0"/>
          </reference>
          <reference field="4" count="1" selected="0">
            <x v="3"/>
          </reference>
        </references>
      </pivotArea>
    </chartFormat>
    <chartFormat chart="3" format="31">
      <pivotArea type="data" outline="0" fieldPosition="0">
        <references count="2">
          <reference field="4294967294" count="1" selected="0">
            <x v="0"/>
          </reference>
          <reference field="4" count="1" selected="0">
            <x v="4"/>
          </reference>
        </references>
      </pivotArea>
    </chartFormat>
    <chartFormat chart="3" format="32">
      <pivotArea type="data" outline="0" fieldPosition="0">
        <references count="2">
          <reference field="4294967294" count="1" selected="0">
            <x v="0"/>
          </reference>
          <reference field="4" count="1" selected="0">
            <x v="5"/>
          </reference>
        </references>
      </pivotArea>
    </chartFormat>
    <chartFormat chart="3" format="33">
      <pivotArea type="data" outline="0" fieldPosition="0">
        <references count="2">
          <reference field="4294967294" count="1" selected="0">
            <x v="0"/>
          </reference>
          <reference field="4" count="1" selected="0">
            <x v="6"/>
          </reference>
        </references>
      </pivotArea>
    </chartFormat>
    <chartFormat chart="3" format="34">
      <pivotArea type="data" outline="0" fieldPosition="0">
        <references count="2">
          <reference field="4294967294" count="1" selected="0">
            <x v="0"/>
          </reference>
          <reference field="4" count="1" selected="0">
            <x v="7"/>
          </reference>
        </references>
      </pivotArea>
    </chartFormat>
    <chartFormat chart="3" format="35">
      <pivotArea type="data" outline="0" fieldPosition="0">
        <references count="2">
          <reference field="4294967294" count="1" selected="0">
            <x v="0"/>
          </reference>
          <reference field="4" count="1" selected="0">
            <x v="8"/>
          </reference>
        </references>
      </pivotArea>
    </chartFormat>
    <chartFormat chart="3" format="36">
      <pivotArea type="data" outline="0" fieldPosition="0">
        <references count="2">
          <reference field="4294967294" count="1" selected="0">
            <x v="0"/>
          </reference>
          <reference field="4" count="1" selected="0">
            <x v="9"/>
          </reference>
        </references>
      </pivotArea>
    </chartFormat>
    <chartFormat chart="3" format="37">
      <pivotArea type="data" outline="0" fieldPosition="0">
        <references count="2">
          <reference field="4294967294" count="1" selected="0">
            <x v="0"/>
          </reference>
          <reference field="4" count="1" selected="0">
            <x v="10"/>
          </reference>
        </references>
      </pivotArea>
    </chartFormat>
    <chartFormat chart="3" format="38">
      <pivotArea type="data" outline="0" fieldPosition="0">
        <references count="2">
          <reference field="4294967294" count="1" selected="0">
            <x v="0"/>
          </reference>
          <reference field="4"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D0C21DB-51A2-4666-95E8-8D5FF42BAB9A}" name="pvt10"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4">
  <location ref="E50:F63" firstHeaderRow="1" firstDataRow="1" firstDataCol="1"/>
  <pivotFields count="19">
    <pivotField dataField="1" showAll="0"/>
    <pivotField numFmtId="14" showAll="0">
      <items count="146">
        <item x="55"/>
        <item x="4"/>
        <item x="120"/>
        <item x="144"/>
        <item x="138"/>
        <item x="17"/>
        <item x="117"/>
        <item x="38"/>
        <item x="81"/>
        <item x="54"/>
        <item x="63"/>
        <item x="103"/>
        <item x="21"/>
        <item x="29"/>
        <item x="34"/>
        <item x="101"/>
        <item x="86"/>
        <item x="52"/>
        <item x="18"/>
        <item x="24"/>
        <item x="41"/>
        <item x="118"/>
        <item x="114"/>
        <item x="32"/>
        <item x="136"/>
        <item x="83"/>
        <item x="78"/>
        <item x="36"/>
        <item x="30"/>
        <item x="65"/>
        <item x="48"/>
        <item x="91"/>
        <item x="53"/>
        <item x="135"/>
        <item x="28"/>
        <item x="96"/>
        <item x="47"/>
        <item x="130"/>
        <item x="6"/>
        <item x="12"/>
        <item x="71"/>
        <item x="116"/>
        <item x="68"/>
        <item x="127"/>
        <item x="26"/>
        <item x="112"/>
        <item x="79"/>
        <item x="57"/>
        <item x="67"/>
        <item x="125"/>
        <item x="22"/>
        <item x="50"/>
        <item x="15"/>
        <item x="3"/>
        <item x="33"/>
        <item x="77"/>
        <item x="93"/>
        <item x="84"/>
        <item x="88"/>
        <item x="139"/>
        <item x="61"/>
        <item x="107"/>
        <item x="20"/>
        <item x="14"/>
        <item x="49"/>
        <item x="35"/>
        <item x="87"/>
        <item x="132"/>
        <item x="0"/>
        <item x="121"/>
        <item x="94"/>
        <item x="27"/>
        <item x="37"/>
        <item x="104"/>
        <item x="13"/>
        <item x="45"/>
        <item x="110"/>
        <item x="75"/>
        <item x="105"/>
        <item x="72"/>
        <item x="126"/>
        <item x="25"/>
        <item x="89"/>
        <item x="39"/>
        <item x="108"/>
        <item x="10"/>
        <item x="80"/>
        <item x="109"/>
        <item x="92"/>
        <item x="119"/>
        <item x="142"/>
        <item x="85"/>
        <item x="62"/>
        <item x="106"/>
        <item x="40"/>
        <item x="70"/>
        <item x="102"/>
        <item x="19"/>
        <item x="64"/>
        <item x="56"/>
        <item x="23"/>
        <item x="8"/>
        <item x="60"/>
        <item x="66"/>
        <item x="124"/>
        <item x="140"/>
        <item x="95"/>
        <item x="111"/>
        <item x="5"/>
        <item x="131"/>
        <item x="43"/>
        <item x="2"/>
        <item x="99"/>
        <item x="42"/>
        <item x="76"/>
        <item x="31"/>
        <item x="11"/>
        <item x="123"/>
        <item x="58"/>
        <item x="1"/>
        <item x="115"/>
        <item x="73"/>
        <item x="122"/>
        <item x="98"/>
        <item x="129"/>
        <item x="128"/>
        <item x="90"/>
        <item x="97"/>
        <item x="133"/>
        <item x="141"/>
        <item x="113"/>
        <item x="82"/>
        <item x="7"/>
        <item x="46"/>
        <item x="44"/>
        <item x="16"/>
        <item x="74"/>
        <item x="143"/>
        <item x="59"/>
        <item x="9"/>
        <item x="134"/>
        <item x="100"/>
        <item x="69"/>
        <item x="137"/>
        <item x="51"/>
        <item t="default"/>
      </items>
    </pivotField>
    <pivotField showAll="0"/>
    <pivotField showAll="0"/>
    <pivotField axis="axisRow" showAll="0">
      <items count="13">
        <item x="0"/>
        <item x="7"/>
        <item x="6"/>
        <item x="10"/>
        <item x="4"/>
        <item x="2"/>
        <item x="1"/>
        <item x="9"/>
        <item x="11"/>
        <item x="3"/>
        <item x="5"/>
        <item x="8"/>
        <item t="default"/>
      </items>
    </pivotField>
    <pivotField showAll="0"/>
    <pivotField showAll="0">
      <items count="15">
        <item x="5"/>
        <item x="9"/>
        <item x="7"/>
        <item x="11"/>
        <item x="0"/>
        <item x="8"/>
        <item x="6"/>
        <item x="2"/>
        <item x="3"/>
        <item x="1"/>
        <item x="13"/>
        <item x="4"/>
        <item x="12"/>
        <item x="10"/>
        <item t="default"/>
      </items>
    </pivotField>
    <pivotField showAll="0">
      <items count="9">
        <item x="7"/>
        <item x="3"/>
        <item x="2"/>
        <item x="6"/>
        <item x="1"/>
        <item x="4"/>
        <item x="0"/>
        <item x="5"/>
        <item t="default"/>
      </items>
    </pivotField>
    <pivotField showAll="0"/>
    <pivotField showAll="0">
      <items count="56">
        <item x="2"/>
        <item x="30"/>
        <item x="21"/>
        <item x="27"/>
        <item x="50"/>
        <item x="9"/>
        <item x="25"/>
        <item x="49"/>
        <item x="35"/>
        <item x="48"/>
        <item x="20"/>
        <item x="37"/>
        <item x="19"/>
        <item x="42"/>
        <item x="51"/>
        <item x="47"/>
        <item x="39"/>
        <item x="54"/>
        <item x="4"/>
        <item x="29"/>
        <item x="7"/>
        <item x="5"/>
        <item x="43"/>
        <item x="13"/>
        <item x="16"/>
        <item x="14"/>
        <item x="1"/>
        <item x="26"/>
        <item x="15"/>
        <item x="10"/>
        <item x="3"/>
        <item x="53"/>
        <item x="33"/>
        <item x="18"/>
        <item x="40"/>
        <item x="12"/>
        <item x="11"/>
        <item x="45"/>
        <item x="23"/>
        <item x="28"/>
        <item x="17"/>
        <item x="31"/>
        <item x="52"/>
        <item x="34"/>
        <item x="6"/>
        <item x="8"/>
        <item x="44"/>
        <item x="36"/>
        <item x="0"/>
        <item x="22"/>
        <item x="38"/>
        <item x="41"/>
        <item x="46"/>
        <item x="32"/>
        <item x="24"/>
        <item t="default"/>
      </items>
    </pivotField>
    <pivotField showAll="0">
      <items count="14">
        <item x="0"/>
        <item x="1"/>
        <item x="10"/>
        <item x="12"/>
        <item x="9"/>
        <item x="6"/>
        <item x="11"/>
        <item x="7"/>
        <item x="8"/>
        <item x="2"/>
        <item x="5"/>
        <item x="4"/>
        <item x="3"/>
        <item t="default"/>
      </items>
    </pivotField>
    <pivotField showAll="0"/>
    <pivotField showAll="0"/>
    <pivotField showAll="0"/>
    <pivotField showAll="0"/>
    <pivotField showAll="0"/>
    <pivotField showAll="0"/>
    <pivotField showAll="0">
      <items count="5">
        <item x="2"/>
        <item x="3"/>
        <item x="0"/>
        <item x="1"/>
        <item t="default"/>
      </items>
    </pivotField>
    <pivotField showAll="0">
      <items count="7">
        <item x="1"/>
        <item x="0"/>
        <item m="1" x="5"/>
        <item x="2"/>
        <item x="3"/>
        <item x="4"/>
        <item t="default"/>
      </items>
    </pivotField>
  </pivotFields>
  <rowFields count="1">
    <field x="4"/>
  </rowFields>
  <rowItems count="13">
    <i>
      <x/>
    </i>
    <i>
      <x v="1"/>
    </i>
    <i>
      <x v="2"/>
    </i>
    <i>
      <x v="3"/>
    </i>
    <i>
      <x v="4"/>
    </i>
    <i>
      <x v="5"/>
    </i>
    <i>
      <x v="6"/>
    </i>
    <i>
      <x v="7"/>
    </i>
    <i>
      <x v="8"/>
    </i>
    <i>
      <x v="9"/>
    </i>
    <i>
      <x v="10"/>
    </i>
    <i>
      <x v="11"/>
    </i>
    <i t="grand">
      <x/>
    </i>
  </rowItems>
  <colItems count="1">
    <i/>
  </colItems>
  <dataFields count="1">
    <dataField name="Count of HAZOP_ID" fld="0" subtotal="count" baseField="0" baseItem="0"/>
  </dataFields>
  <formats count="3">
    <format dxfId="29">
      <pivotArea type="all" dataOnly="0" outline="0" fieldPosition="0"/>
    </format>
    <format dxfId="28">
      <pivotArea outline="0" collapsedLevelsAreSubtotals="1" fieldPosition="0"/>
    </format>
    <format dxfId="27">
      <pivotArea dataOnly="0" labelOnly="1" outline="0" axis="axisValues" fieldPosition="0"/>
    </format>
  </format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4217AACA-79F9-468F-AA1B-C0211565E779}" autoFormatId="16" applyNumberFormats="0" applyBorderFormats="0" applyFontFormats="0" applyPatternFormats="0" applyAlignmentFormats="0" applyWidthHeightFormats="0">
  <queryTableRefresh nextId="16">
    <queryTableFields count="15">
      <queryTableField id="1" name="HAZOP_ID" tableColumnId="1"/>
      <queryTableField id="2" name="Study Date" tableColumnId="2"/>
      <queryTableField id="3" name="Node" tableColumnId="3"/>
      <queryTableField id="4" name="Parameter" tableColumnId="4"/>
      <queryTableField id="5" name="Guide Word" tableColumnId="5"/>
      <queryTableField id="6" name="Deviation" tableColumnId="6"/>
      <queryTableField id="7" name="Cause" tableColumnId="7"/>
      <queryTableField id="8" name="Consequence" tableColumnId="8"/>
      <queryTableField id="9" name="Safeguard" tableColumnId="9"/>
      <queryTableField id="10" name="Severity" tableColumnId="10"/>
      <queryTableField id="11" name="Likelihood" tableColumnId="11"/>
      <queryTableField id="12" name="Risk Rating" tableColumnId="12"/>
      <queryTableField id="13" name="Recommended Action" tableColumnId="13"/>
      <queryTableField id="14" name="Responsible Team" tableColumnId="14"/>
      <queryTableField id="15" name="Status" tableColumnId="1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D2C963F2-481B-45B1-B343-927AC52DB2AB}" autoFormatId="16" applyNumberFormats="0" applyBorderFormats="0" applyFontFormats="0" applyPatternFormats="0" applyAlignmentFormats="0" applyWidthHeightFormats="0">
  <queryTableRefresh nextId="24">
    <queryTableFields count="19">
      <queryTableField id="1" name="HAZOP_ID" tableColumnId="1"/>
      <queryTableField id="2" name="Study Date" tableColumnId="2"/>
      <queryTableField id="16" name="Year" tableColumnId="16"/>
      <queryTableField id="17" name="Quarter" tableColumnId="17"/>
      <queryTableField id="18" name="Month Name" tableColumnId="18"/>
      <queryTableField id="19" name="Day Name" tableColumnId="19"/>
      <queryTableField id="3" name="Node" tableColumnId="3"/>
      <queryTableField id="4" name="Parameter" tableColumnId="4"/>
      <queryTableField id="5" name="Guide Word" tableColumnId="5"/>
      <queryTableField id="6" name="Deviation" tableColumnId="6"/>
      <queryTableField id="7" name="Cause" tableColumnId="7"/>
      <queryTableField id="8" name="Consequence" tableColumnId="8"/>
      <queryTableField id="9" name="Safeguard" tableColumnId="9"/>
      <queryTableField id="10" name="Severity" tableColumnId="10"/>
      <queryTableField id="11" name="Likelihood" tableColumnId="11"/>
      <queryTableField id="12" name="Risk Rating" tableColumnId="12"/>
      <queryTableField id="13" name="Recommended Action" tableColumnId="13"/>
      <queryTableField id="14" name="Responsible Team" tableColumnId="14"/>
      <queryTableField id="15" name="Status"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use" xr10:uid="{223F04DF-B3F8-44DD-B985-5F851B199410}" sourceName="Cause">
  <pivotTables>
    <pivotTable tabId="5" name="pvt1"/>
    <pivotTable tabId="5" name="pvt8"/>
    <pivotTable tabId="5" name="pvt9"/>
    <pivotTable tabId="5" name="pvt10"/>
    <pivotTable tabId="5" name="pvt11"/>
    <pivotTable tabId="5" name="pvt2"/>
    <pivotTable tabId="5" name="pvt3"/>
    <pivotTable tabId="5" name="pvt5"/>
    <pivotTable tabId="5" name="pvt7"/>
    <pivotTable tabId="5" name="pvt6"/>
    <pivotTable tabId="5" name="PivotTable8"/>
    <pivotTable tabId="5" name="PivotTable9"/>
  </pivotTables>
  <data>
    <tabular pivotCacheId="1448323815">
      <items count="13">
        <i x="0" s="1"/>
        <i x="1" s="1"/>
        <i x="10" s="1"/>
        <i x="12" s="1"/>
        <i x="9" s="1"/>
        <i x="6" s="1"/>
        <i x="11" s="1"/>
        <i x="7" s="1"/>
        <i x="8" s="1"/>
        <i x="2" s="1"/>
        <i x="5" s="1"/>
        <i x="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ode" xr10:uid="{DC0191E2-B3E0-4BD5-8031-157EF114A604}" sourceName="Node">
  <pivotTables>
    <pivotTable tabId="5" name="pvt1"/>
    <pivotTable tabId="5" name="pvt8"/>
    <pivotTable tabId="5" name="pvt9"/>
    <pivotTable tabId="5" name="pvt10"/>
    <pivotTable tabId="5" name="pvt11"/>
    <pivotTable tabId="5" name="pvt2"/>
    <pivotTable tabId="5" name="pvt3"/>
    <pivotTable tabId="5" name="pvt5"/>
    <pivotTable tabId="5" name="pvt7"/>
    <pivotTable tabId="5" name="pvt6"/>
    <pivotTable tabId="5" name="PivotTable8"/>
    <pivotTable tabId="5" name="PivotTable9"/>
  </pivotTables>
  <data>
    <tabular pivotCacheId="1448323815">
      <items count="14">
        <i x="5" s="1"/>
        <i x="9" s="1"/>
        <i x="7" s="1"/>
        <i x="11" s="1"/>
        <i x="0" s="1"/>
        <i x="8" s="1"/>
        <i x="6" s="1"/>
        <i x="2" s="1"/>
        <i x="3" s="1"/>
        <i x="1" s="1"/>
        <i x="13" s="1"/>
        <i x="4" s="1"/>
        <i x="12" s="1"/>
        <i x="1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ameter" xr10:uid="{F4435D22-0958-4DB2-9FA3-C71974DD3FB9}" sourceName="Parameter">
  <pivotTables>
    <pivotTable tabId="5" name="pvt1"/>
    <pivotTable tabId="5" name="pvt8"/>
    <pivotTable tabId="5" name="pvt9"/>
    <pivotTable tabId="5" name="pvt10"/>
    <pivotTable tabId="5" name="pvt11"/>
    <pivotTable tabId="5" name="pvt2"/>
    <pivotTable tabId="5" name="pvt3"/>
    <pivotTable tabId="5" name="pvt5"/>
    <pivotTable tabId="5" name="pvt7"/>
    <pivotTable tabId="5" name="pvt6"/>
    <pivotTable tabId="5" name="PivotTable8"/>
    <pivotTable tabId="5" name="PivotTable9"/>
  </pivotTables>
  <data>
    <tabular pivotCacheId="1448323815">
      <items count="8">
        <i x="7" s="1"/>
        <i x="3" s="1"/>
        <i x="2" s="1"/>
        <i x="6" s="1"/>
        <i x="1" s="1"/>
        <i x="4" s="1"/>
        <i x="0"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viation" xr10:uid="{A2AE390B-3D6D-4974-B082-72C56E8A81C8}" sourceName="Deviation">
  <pivotTables>
    <pivotTable tabId="5" name="pvt1"/>
    <pivotTable tabId="5" name="pvt8"/>
    <pivotTable tabId="5" name="pvt9"/>
    <pivotTable tabId="5" name="pvt10"/>
    <pivotTable tabId="5" name="pvt11"/>
    <pivotTable tabId="5" name="pvt2"/>
    <pivotTable tabId="5" name="pvt3"/>
    <pivotTable tabId="5" name="pvt5"/>
    <pivotTable tabId="5" name="pvt7"/>
    <pivotTable tabId="5" name="pvt6"/>
    <pivotTable tabId="5" name="PivotTable8"/>
    <pivotTable tabId="5" name="PivotTable9"/>
  </pivotTables>
  <data>
    <tabular pivotCacheId="1448323815">
      <items count="55">
        <i x="2" s="1"/>
        <i x="30" s="1"/>
        <i x="21" s="1"/>
        <i x="27" s="1"/>
        <i x="50" s="1"/>
        <i x="9" s="1"/>
        <i x="25" s="1"/>
        <i x="49" s="1"/>
        <i x="35" s="1"/>
        <i x="48" s="1"/>
        <i x="20" s="1"/>
        <i x="37" s="1"/>
        <i x="19" s="1"/>
        <i x="42" s="1"/>
        <i x="51" s="1"/>
        <i x="47" s="1"/>
        <i x="39" s="1"/>
        <i x="54" s="1"/>
        <i x="4" s="1"/>
        <i x="29" s="1"/>
        <i x="7" s="1"/>
        <i x="5" s="1"/>
        <i x="43" s="1"/>
        <i x="13" s="1"/>
        <i x="16" s="1"/>
        <i x="14" s="1"/>
        <i x="1" s="1"/>
        <i x="26" s="1"/>
        <i x="15" s="1"/>
        <i x="10" s="1"/>
        <i x="3" s="1"/>
        <i x="53" s="1"/>
        <i x="33" s="1"/>
        <i x="18" s="1"/>
        <i x="40" s="1"/>
        <i x="12" s="1"/>
        <i x="11" s="1"/>
        <i x="45" s="1"/>
        <i x="23" s="1"/>
        <i x="28" s="1"/>
        <i x="17" s="1"/>
        <i x="31" s="1"/>
        <i x="52" s="1"/>
        <i x="34" s="1"/>
        <i x="6" s="1"/>
        <i x="8" s="1"/>
        <i x="44" s="1"/>
        <i x="36" s="1"/>
        <i x="0" s="1"/>
        <i x="22" s="1"/>
        <i x="38" s="1"/>
        <i x="41" s="1"/>
        <i x="46" s="1"/>
        <i x="32" s="1"/>
        <i x="2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ponsible_Team" xr10:uid="{668403FB-543B-4500-93D0-B3A2F0388F2D}" sourceName="Responsible Team">
  <pivotTables>
    <pivotTable tabId="5" name="pvt1"/>
    <pivotTable tabId="5" name="pvt8"/>
    <pivotTable tabId="5" name="pvt9"/>
    <pivotTable tabId="5" name="pvt10"/>
    <pivotTable tabId="5" name="pvt11"/>
    <pivotTable tabId="5" name="pvt2"/>
    <pivotTable tabId="5" name="pvt3"/>
    <pivotTable tabId="5" name="pvt5"/>
    <pivotTable tabId="5" name="pvt7"/>
    <pivotTable tabId="5" name="pvt6"/>
    <pivotTable tabId="5" name="PivotTable8"/>
    <pivotTable tabId="5" name="PivotTable9"/>
  </pivotTables>
  <data>
    <tabular pivotCacheId="1448323815">
      <items count="4">
        <i x="2" s="1"/>
        <i x="3" s="1"/>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FB0A120D-93E9-404B-8605-0C003FC5B6B9}" sourceName="Status">
  <pivotTables>
    <pivotTable tabId="5" name="pvt1"/>
    <pivotTable tabId="5" name="pvt8"/>
    <pivotTable tabId="5" name="pvt9"/>
    <pivotTable tabId="5" name="pvt10"/>
    <pivotTable tabId="5" name="pvt11"/>
    <pivotTable tabId="5" name="pvt2"/>
    <pivotTable tabId="5" name="pvt3"/>
    <pivotTable tabId="5" name="pvt5"/>
    <pivotTable tabId="5" name="pvt7"/>
    <pivotTable tabId="5" name="pvt6"/>
    <pivotTable tabId="5" name="PivotTable8"/>
    <pivotTable tabId="5" name="PivotTable9"/>
  </pivotTables>
  <data>
    <tabular pivotCacheId="1448323815">
      <items count="6">
        <i x="1" s="1"/>
        <i x="0" s="1"/>
        <i x="2" s="1"/>
        <i x="3" s="1"/>
        <i x="4" s="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use 1" xr10:uid="{8251E959-88FA-4BC0-BF67-1232F12D903E}" cache="Slicer_Cause" caption="Cause" startItem="10" rowHeight="144000"/>
  <slicer name="Cause 2" xr10:uid="{9647A77B-DF2F-4F25-8EB8-08D256CCB942}" cache="Slicer_Cause" caption="Cause" startItem="10" lockedPosition="1" rowHeight="144000"/>
  <slicer name="Node" xr10:uid="{7456D591-6ABE-4673-9D22-CAC5635E9209}" cache="Slicer_Node" caption="Node" lockedPosition="1" rowHeight="234950"/>
  <slicer name="Parameter" xr10:uid="{44B53979-E3AE-4B96-853D-0D760845F56F}" cache="Slicer_Parameter" caption="Parameter" startItem="6" lockedPosition="1" rowHeight="234950"/>
  <slicer name="Deviation" xr10:uid="{83C8FFD3-6EA0-4D73-9AF4-8AA08C069754}" cache="Slicer_Deviation" caption="Deviation" lockedPosition="1" rowHeight="144000"/>
  <slicer name="Responsible Team" xr10:uid="{67004916-FEF5-48BB-BCA4-B0692D7F61C3}" cache="Slicer_Responsible_Team" caption="Responsible Team" lockedPosition="1" rowHeight="144000"/>
  <slicer name="Status" xr10:uid="{1D004882-879A-43B3-BD08-9F06D16994F3}" cache="Slicer_Status" caption="Status" startItem="3" lockedPosition="1" rowHeight="14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65EDCC8-5647-4583-8817-14AE68E3A336}" name="hazop_risk_analysis_uncleaned" displayName="hazop_risk_analysis_uncleaned" ref="A1:O207" tableType="queryTable" totalsRowShown="0">
  <autoFilter ref="A1:O207" xr:uid="{A6CE332B-EB30-4C13-AE12-BC055BF6DD49}"/>
  <tableColumns count="15">
    <tableColumn id="1" xr3:uid="{B56C4F76-D3CA-4838-8877-1E9034C1592A}" uniqueName="1" name="HAZOP_ID" queryTableFieldId="1"/>
    <tableColumn id="2" xr3:uid="{0CE59413-237B-4DED-A00E-24462095CC4A}" uniqueName="2" name="Study Date" queryTableFieldId="2" dataDxfId="58"/>
    <tableColumn id="3" xr3:uid="{4F9AA396-65A1-472E-9ED2-55A76F1CBA83}" uniqueName="3" name="Node" queryTableFieldId="3" dataDxfId="57"/>
    <tableColumn id="4" xr3:uid="{4F15E698-272E-47C9-B86D-37AB9564488F}" uniqueName="4" name="Parameter" queryTableFieldId="4" dataDxfId="56"/>
    <tableColumn id="5" xr3:uid="{2E499104-732D-435C-BD0F-59DB6DF43B77}" uniqueName="5" name="Guide Word" queryTableFieldId="5" dataDxfId="55"/>
    <tableColumn id="6" xr3:uid="{D6C8B8A0-869C-4E0D-A0E1-8B7738C3DE17}" uniqueName="6" name="Deviation" queryTableFieldId="6" dataDxfId="54"/>
    <tableColumn id="7" xr3:uid="{0F11A433-455F-46C3-A335-0C40A31870C2}" uniqueName="7" name="Cause" queryTableFieldId="7" dataDxfId="53"/>
    <tableColumn id="8" xr3:uid="{F8244C7F-3DBB-4DC8-85FA-AC4CE4AC7BFC}" uniqueName="8" name="Consequence" queryTableFieldId="8" dataDxfId="52"/>
    <tableColumn id="9" xr3:uid="{BC45898F-C15C-4C6E-9908-F4E095DE3847}" uniqueName="9" name="Safeguard" queryTableFieldId="9" dataDxfId="51"/>
    <tableColumn id="10" xr3:uid="{C74603C4-6BD1-4A5E-8CB1-73B9D24FEC08}" uniqueName="10" name="Severity" queryTableFieldId="10" dataDxfId="50"/>
    <tableColumn id="11" xr3:uid="{5E2A26F5-E015-4999-B793-972E93E1F0EC}" uniqueName="11" name="Likelihood" queryTableFieldId="11" dataDxfId="49"/>
    <tableColumn id="12" xr3:uid="{F0A42D97-C810-482C-92FF-29553B53CC73}" uniqueName="12" name="Risk Rating" queryTableFieldId="12" dataDxfId="48"/>
    <tableColumn id="13" xr3:uid="{A3CB3E15-E1B3-4794-AEE1-44076E5D164B}" uniqueName="13" name="Recommended Action" queryTableFieldId="13" dataDxfId="47"/>
    <tableColumn id="14" xr3:uid="{D12D4B60-5CF4-4E31-B491-FCF0E59582A1}" uniqueName="14" name="Responsible Team" queryTableFieldId="14" dataDxfId="46"/>
    <tableColumn id="15" xr3:uid="{649B766A-566D-4842-A139-5BAEC441523A}" uniqueName="15" name="Status" queryTableFieldId="15" dataDxfId="4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6CE332B-EB30-4C13-AE12-BC055BF6DD49}" name="hazop_risk_analysis_cleaned" displayName="hazop_risk_analysis_cleaned" ref="A1:S165" tableType="queryTable" totalsRowShown="0">
  <autoFilter ref="A1:S165" xr:uid="{A6CE332B-EB30-4C13-AE12-BC055BF6DD49}"/>
  <tableColumns count="19">
    <tableColumn id="1" xr3:uid="{A7ABB1D2-8927-46D8-8D41-23415949D269}" uniqueName="1" name="HAZOP_ID" queryTableFieldId="1"/>
    <tableColumn id="2" xr3:uid="{91ACAD2E-9156-4EF5-8029-F4ED7E435E55}" uniqueName="2" name="Study Date" queryTableFieldId="2" dataDxfId="0"/>
    <tableColumn id="16" xr3:uid="{FA0903A8-243F-4357-AFE5-6CCAF8D65210}" uniqueName="16" name="Year" queryTableFieldId="16"/>
    <tableColumn id="17" xr3:uid="{4888834A-6BEC-4A27-97D2-961BBDA84B42}" uniqueName="17" name="Quarter" queryTableFieldId="17"/>
    <tableColumn id="18" xr3:uid="{046C8C3E-9566-40D1-8735-F546E481732B}" uniqueName="18" name="Month Name" queryTableFieldId="18" dataDxfId="44"/>
    <tableColumn id="19" xr3:uid="{6DCF0CF5-7284-4E3C-935E-24E661B062F4}" uniqueName="19" name="Day Name" queryTableFieldId="19" dataDxfId="43"/>
    <tableColumn id="3" xr3:uid="{B6D3F02C-DE9D-4A2B-9B7A-334D99D68137}" uniqueName="3" name="Node" queryTableFieldId="3" dataDxfId="42"/>
    <tableColumn id="4" xr3:uid="{38D49346-6238-4DEE-A776-C55A1C14CAB9}" uniqueName="4" name="Parameter" queryTableFieldId="4" dataDxfId="41"/>
    <tableColumn id="5" xr3:uid="{DF35DC36-E0A8-4101-907A-8CC4DBF07C9E}" uniqueName="5" name="Guide Word" queryTableFieldId="5" dataDxfId="40"/>
    <tableColumn id="6" xr3:uid="{0920BB25-C1D3-4941-BBA5-4A9459C5E6E9}" uniqueName="6" name="Deviation" queryTableFieldId="6" dataDxfId="39"/>
    <tableColumn id="7" xr3:uid="{41DCEBAE-D731-4638-BFDA-889042B2CE5C}" uniqueName="7" name="Cause" queryTableFieldId="7" dataDxfId="38"/>
    <tableColumn id="8" xr3:uid="{F479EFBB-A88F-4E33-88E7-0106055BA39C}" uniqueName="8" name="Consequence" queryTableFieldId="8" dataDxfId="37"/>
    <tableColumn id="9" xr3:uid="{1CFFCF9F-CB54-4A9D-A500-81DD08A8EC20}" uniqueName="9" name="Safeguard" queryTableFieldId="9" dataDxfId="36"/>
    <tableColumn id="10" xr3:uid="{99B4DB99-4379-4681-900F-CB017BE1CE93}" uniqueName="10" name="Severity" queryTableFieldId="10" dataDxfId="35"/>
    <tableColumn id="11" xr3:uid="{7C676F65-FCFD-4414-A99A-292B43880531}" uniqueName="11" name="Likelihood" queryTableFieldId="11" dataDxfId="34"/>
    <tableColumn id="12" xr3:uid="{AE51A21D-84E4-4836-A228-4EBCA4E17E10}" uniqueName="12" name="Risk Rating" queryTableFieldId="12" dataDxfId="33"/>
    <tableColumn id="13" xr3:uid="{349A5FE2-CD7B-4D49-85AA-8A2E902B885A}" uniqueName="13" name="Recommended Action" queryTableFieldId="13" dataDxfId="32"/>
    <tableColumn id="14" xr3:uid="{74EAAEAD-2B02-4C05-A8FC-49BA1DD8C4FB}" uniqueName="14" name="Responsible Team" queryTableFieldId="14" dataDxfId="31"/>
    <tableColumn id="15" xr3:uid="{C80EC99E-F0AE-41BF-8512-5A48634DB6B0}" uniqueName="15" name="Status" queryTableFieldId="15" dataDxfId="3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tudy_Date" xr10:uid="{423C2087-02ED-4627-BF12-B35C02EDB0AD}" sourceName="Study Date">
  <pivotTables>
    <pivotTable tabId="5" name="pvt1"/>
    <pivotTable tabId="5" name="pvt10"/>
    <pivotTable tabId="5" name="pvt11"/>
    <pivotTable tabId="5" name="pvt2"/>
    <pivotTable tabId="5" name="pvt3"/>
    <pivotTable tabId="5" name="pvt5"/>
    <pivotTable tabId="5" name="pvt6"/>
    <pivotTable tabId="5" name="pvt7"/>
    <pivotTable tabId="5" name="pvt8"/>
    <pivotTable tabId="5" name="pvt9"/>
    <pivotTable tabId="5" name="PivotTable8"/>
    <pivotTable tabId="5" name="PivotTable9"/>
  </pivotTables>
  <state minimalRefreshVersion="6" lastRefreshVersion="6" pivotCacheId="1448323815"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tudy Date" xr10:uid="{79B77C9E-E98E-4EA0-B422-41081B386486}" cache="NativeTimeline_Study_Date" caption="Study Date" showHorizontalScrollbar="0" level="0" selectionLevel="0" scrollPosition="2023-01-01T00:00:00"/>
  <timeline name="Study Date 1" xr10:uid="{83DC485A-73BB-411C-8CC6-E7BE0187F44C}" cache="NativeTimeline_Study_Date" caption="Study Date" level="3" selectionLevel="3" scrollPosition="2023-06-30T00:00:00"/>
  <timeline name="Study Date 2" xr10:uid="{B37FF645-3365-4FAB-9F1A-8871EAE2EFD1}" cache="NativeTimeline_Study_Date" caption="Study Date" showHorizontalScrollbar="0" level="1" selectionLevel="1" scrollPosition="2023-03-11T00:00:00"/>
  <timeline name="Study Date 3" xr10:uid="{30BEE3A6-20C4-4A5C-9564-09003C0C6438}" cache="NativeTimeline_Study_Date" caption="Study Date" level="2" selectionLevel="2" scrollPosition="2023-05-23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A5E2B-C65C-46D7-A59C-5D577C7814A8}">
  <dimension ref="A1:O207"/>
  <sheetViews>
    <sheetView workbookViewId="0">
      <selection sqref="A1:O207"/>
    </sheetView>
  </sheetViews>
  <sheetFormatPr defaultRowHeight="14.4" x14ac:dyDescent="0.3"/>
  <cols>
    <col min="1" max="1" width="11.88671875" bestFit="1" customWidth="1"/>
    <col min="2" max="2" width="12.44140625" bestFit="1" customWidth="1"/>
    <col min="3" max="3" width="24.109375" bestFit="1" customWidth="1"/>
    <col min="4" max="4" width="12.44140625" bestFit="1" customWidth="1"/>
    <col min="5" max="5" width="13.21875" bestFit="1" customWidth="1"/>
    <col min="6" max="6" width="22.33203125" bestFit="1" customWidth="1"/>
    <col min="7" max="7" width="24.77734375" bestFit="1" customWidth="1"/>
    <col min="8" max="8" width="26.109375" bestFit="1" customWidth="1"/>
    <col min="9" max="9" width="25.88671875" bestFit="1" customWidth="1"/>
    <col min="10" max="10" width="10" bestFit="1" customWidth="1"/>
    <col min="11" max="11" width="11.88671875" bestFit="1" customWidth="1"/>
    <col min="12" max="12" width="17.6640625" bestFit="1" customWidth="1"/>
    <col min="13" max="13" width="22.5546875" bestFit="1" customWidth="1"/>
    <col min="14" max="14" width="18.44140625" bestFit="1" customWidth="1"/>
    <col min="15" max="15" width="10" bestFit="1"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v>1015</v>
      </c>
      <c r="B2" t="s">
        <v>15</v>
      </c>
      <c r="C2" t="s">
        <v>16</v>
      </c>
      <c r="D2" t="s">
        <v>17</v>
      </c>
      <c r="E2" t="s">
        <v>18</v>
      </c>
      <c r="F2" t="s">
        <v>19</v>
      </c>
      <c r="G2" t="s">
        <v>20</v>
      </c>
      <c r="H2" t="s">
        <v>21</v>
      </c>
      <c r="I2" t="s">
        <v>22</v>
      </c>
    </row>
    <row r="3" spans="1:15" x14ac:dyDescent="0.3">
      <c r="A3">
        <v>1127</v>
      </c>
      <c r="B3" t="s">
        <v>23</v>
      </c>
      <c r="C3" t="s">
        <v>24</v>
      </c>
      <c r="D3" t="s">
        <v>17</v>
      </c>
      <c r="E3" t="s">
        <v>25</v>
      </c>
      <c r="F3" t="s">
        <v>26</v>
      </c>
      <c r="G3" t="s">
        <v>27</v>
      </c>
      <c r="H3" t="s">
        <v>28</v>
      </c>
      <c r="I3" t="s">
        <v>29</v>
      </c>
      <c r="J3" t="s">
        <v>30</v>
      </c>
      <c r="K3" t="s">
        <v>31</v>
      </c>
      <c r="L3" t="s">
        <v>30</v>
      </c>
      <c r="M3" t="s">
        <v>32</v>
      </c>
      <c r="N3" t="s">
        <v>33</v>
      </c>
      <c r="O3" t="s">
        <v>34</v>
      </c>
    </row>
    <row r="4" spans="1:15" x14ac:dyDescent="0.3">
      <c r="A4">
        <v>1023</v>
      </c>
      <c r="B4" t="s">
        <v>35</v>
      </c>
      <c r="C4" t="s">
        <v>36</v>
      </c>
      <c r="D4" t="s">
        <v>37</v>
      </c>
      <c r="E4" t="s">
        <v>38</v>
      </c>
      <c r="F4" t="s">
        <v>39</v>
      </c>
      <c r="G4" t="s">
        <v>40</v>
      </c>
      <c r="H4" t="s">
        <v>41</v>
      </c>
      <c r="I4" t="s">
        <v>42</v>
      </c>
      <c r="J4" t="s">
        <v>43</v>
      </c>
      <c r="K4" t="s">
        <v>30</v>
      </c>
      <c r="L4" t="s">
        <v>43</v>
      </c>
      <c r="M4" t="s">
        <v>44</v>
      </c>
      <c r="N4" t="s">
        <v>45</v>
      </c>
      <c r="O4" t="s">
        <v>46</v>
      </c>
    </row>
    <row r="5" spans="1:15" x14ac:dyDescent="0.3">
      <c r="A5">
        <v>1012</v>
      </c>
      <c r="B5" t="s">
        <v>47</v>
      </c>
      <c r="D5" t="s">
        <v>48</v>
      </c>
      <c r="E5" t="s">
        <v>49</v>
      </c>
      <c r="F5" t="s">
        <v>50</v>
      </c>
      <c r="G5" t="s">
        <v>51</v>
      </c>
      <c r="H5" t="s">
        <v>52</v>
      </c>
      <c r="I5" t="s">
        <v>22</v>
      </c>
      <c r="J5" t="s">
        <v>53</v>
      </c>
      <c r="K5" t="s">
        <v>54</v>
      </c>
      <c r="L5" t="s">
        <v>53</v>
      </c>
      <c r="N5" t="s">
        <v>55</v>
      </c>
      <c r="O5" t="s">
        <v>56</v>
      </c>
    </row>
    <row r="6" spans="1:15" x14ac:dyDescent="0.3">
      <c r="A6">
        <v>1157</v>
      </c>
      <c r="B6" t="s">
        <v>57</v>
      </c>
      <c r="C6" t="s">
        <v>58</v>
      </c>
      <c r="D6" t="s">
        <v>59</v>
      </c>
      <c r="E6" t="s">
        <v>60</v>
      </c>
      <c r="F6" t="s">
        <v>61</v>
      </c>
      <c r="G6" t="s">
        <v>62</v>
      </c>
      <c r="H6" t="s">
        <v>63</v>
      </c>
      <c r="I6" t="s">
        <v>64</v>
      </c>
      <c r="J6" t="s">
        <v>65</v>
      </c>
      <c r="K6" t="s">
        <v>66</v>
      </c>
      <c r="L6" t="s">
        <v>67</v>
      </c>
      <c r="M6" t="s">
        <v>68</v>
      </c>
      <c r="N6" t="s">
        <v>69</v>
      </c>
      <c r="O6" t="s">
        <v>56</v>
      </c>
    </row>
    <row r="7" spans="1:15" x14ac:dyDescent="0.3">
      <c r="A7">
        <v>1003</v>
      </c>
      <c r="B7" t="s">
        <v>70</v>
      </c>
      <c r="C7" t="s">
        <v>71</v>
      </c>
      <c r="D7" t="s">
        <v>48</v>
      </c>
      <c r="E7" t="s">
        <v>72</v>
      </c>
      <c r="F7" t="s">
        <v>73</v>
      </c>
      <c r="G7" t="s">
        <v>20</v>
      </c>
      <c r="H7" t="s">
        <v>74</v>
      </c>
      <c r="I7" t="s">
        <v>22</v>
      </c>
      <c r="J7" t="s">
        <v>65</v>
      </c>
      <c r="M7" t="s">
        <v>75</v>
      </c>
      <c r="N7" t="s">
        <v>45</v>
      </c>
      <c r="O7" t="s">
        <v>76</v>
      </c>
    </row>
    <row r="8" spans="1:15" x14ac:dyDescent="0.3">
      <c r="A8">
        <v>1026</v>
      </c>
      <c r="B8" t="s">
        <v>77</v>
      </c>
      <c r="C8" t="s">
        <v>78</v>
      </c>
      <c r="D8" t="s">
        <v>17</v>
      </c>
      <c r="E8" t="s">
        <v>72</v>
      </c>
      <c r="F8" t="s">
        <v>79</v>
      </c>
      <c r="G8" t="s">
        <v>51</v>
      </c>
      <c r="H8" t="s">
        <v>63</v>
      </c>
      <c r="I8" t="s">
        <v>80</v>
      </c>
      <c r="J8" t="s">
        <v>30</v>
      </c>
      <c r="K8" t="s">
        <v>31</v>
      </c>
      <c r="L8" t="s">
        <v>30</v>
      </c>
      <c r="M8" t="s">
        <v>68</v>
      </c>
      <c r="N8" t="s">
        <v>33</v>
      </c>
      <c r="O8" t="s">
        <v>81</v>
      </c>
    </row>
    <row r="9" spans="1:15" x14ac:dyDescent="0.3">
      <c r="A9">
        <v>1098</v>
      </c>
      <c r="B9" t="s">
        <v>82</v>
      </c>
      <c r="C9" t="s">
        <v>83</v>
      </c>
      <c r="D9" t="s">
        <v>59</v>
      </c>
      <c r="E9" t="s">
        <v>25</v>
      </c>
      <c r="F9" t="s">
        <v>84</v>
      </c>
      <c r="G9" t="s">
        <v>85</v>
      </c>
      <c r="H9" t="s">
        <v>86</v>
      </c>
      <c r="I9" t="s">
        <v>80</v>
      </c>
      <c r="J9" t="s">
        <v>87</v>
      </c>
      <c r="K9" t="s">
        <v>31</v>
      </c>
      <c r="L9" t="s">
        <v>87</v>
      </c>
      <c r="M9" t="s">
        <v>88</v>
      </c>
      <c r="N9" t="s">
        <v>45</v>
      </c>
      <c r="O9" t="s">
        <v>46</v>
      </c>
    </row>
    <row r="10" spans="1:15" x14ac:dyDescent="0.3">
      <c r="A10">
        <v>1067</v>
      </c>
      <c r="B10" t="s">
        <v>89</v>
      </c>
      <c r="C10" t="s">
        <v>90</v>
      </c>
      <c r="D10" t="s">
        <v>91</v>
      </c>
      <c r="E10" t="s">
        <v>72</v>
      </c>
      <c r="F10" t="s">
        <v>92</v>
      </c>
      <c r="G10" t="s">
        <v>40</v>
      </c>
      <c r="H10" t="s">
        <v>93</v>
      </c>
      <c r="I10" t="s">
        <v>94</v>
      </c>
      <c r="J10" t="s">
        <v>65</v>
      </c>
      <c r="K10" t="s">
        <v>66</v>
      </c>
      <c r="L10" t="s">
        <v>67</v>
      </c>
      <c r="M10" t="s">
        <v>80</v>
      </c>
      <c r="N10" t="s">
        <v>45</v>
      </c>
      <c r="O10" t="s">
        <v>46</v>
      </c>
    </row>
    <row r="11" spans="1:15" x14ac:dyDescent="0.3">
      <c r="A11">
        <v>1064</v>
      </c>
      <c r="B11" t="s">
        <v>95</v>
      </c>
      <c r="C11" t="s">
        <v>96</v>
      </c>
      <c r="D11" t="s">
        <v>48</v>
      </c>
      <c r="E11" t="s">
        <v>25</v>
      </c>
      <c r="F11" t="s">
        <v>97</v>
      </c>
      <c r="G11" t="s">
        <v>27</v>
      </c>
      <c r="H11" t="s">
        <v>98</v>
      </c>
      <c r="I11" t="s">
        <v>99</v>
      </c>
      <c r="J11" t="s">
        <v>53</v>
      </c>
      <c r="M11" t="s">
        <v>75</v>
      </c>
      <c r="N11" t="s">
        <v>55</v>
      </c>
      <c r="O11" t="s">
        <v>81</v>
      </c>
    </row>
    <row r="12" spans="1:15" x14ac:dyDescent="0.3">
      <c r="A12">
        <v>1079</v>
      </c>
      <c r="B12" t="s">
        <v>100</v>
      </c>
      <c r="C12" t="s">
        <v>101</v>
      </c>
      <c r="D12" t="s">
        <v>102</v>
      </c>
      <c r="E12" t="s">
        <v>103</v>
      </c>
      <c r="F12" t="s">
        <v>104</v>
      </c>
      <c r="G12" t="s">
        <v>105</v>
      </c>
      <c r="H12" t="s">
        <v>106</v>
      </c>
      <c r="I12" t="s">
        <v>107</v>
      </c>
      <c r="J12" t="s">
        <v>87</v>
      </c>
      <c r="K12" t="s">
        <v>30</v>
      </c>
      <c r="L12" t="s">
        <v>87</v>
      </c>
      <c r="M12" t="s">
        <v>32</v>
      </c>
      <c r="N12" t="s">
        <v>33</v>
      </c>
      <c r="O12" t="s">
        <v>46</v>
      </c>
    </row>
    <row r="13" spans="1:15" x14ac:dyDescent="0.3">
      <c r="A13">
        <v>1100</v>
      </c>
      <c r="B13" t="s">
        <v>108</v>
      </c>
      <c r="C13" t="s">
        <v>101</v>
      </c>
      <c r="D13" t="s">
        <v>109</v>
      </c>
      <c r="E13" t="s">
        <v>110</v>
      </c>
      <c r="F13" t="s">
        <v>111</v>
      </c>
      <c r="G13" t="s">
        <v>40</v>
      </c>
      <c r="H13" t="s">
        <v>52</v>
      </c>
      <c r="I13" t="s">
        <v>22</v>
      </c>
      <c r="K13" t="s">
        <v>112</v>
      </c>
      <c r="M13" t="s">
        <v>80</v>
      </c>
      <c r="N13" t="s">
        <v>45</v>
      </c>
      <c r="O13" t="s">
        <v>34</v>
      </c>
    </row>
    <row r="14" spans="1:15" x14ac:dyDescent="0.3">
      <c r="A14">
        <v>1109</v>
      </c>
      <c r="B14" t="s">
        <v>113</v>
      </c>
      <c r="C14" t="s">
        <v>114</v>
      </c>
      <c r="E14" t="s">
        <v>115</v>
      </c>
      <c r="G14" t="s">
        <v>116</v>
      </c>
      <c r="H14" t="s">
        <v>117</v>
      </c>
      <c r="I14" t="s">
        <v>118</v>
      </c>
      <c r="J14" t="s">
        <v>119</v>
      </c>
      <c r="K14" t="s">
        <v>112</v>
      </c>
      <c r="L14" t="s">
        <v>120</v>
      </c>
      <c r="M14" t="s">
        <v>32</v>
      </c>
      <c r="N14" t="s">
        <v>69</v>
      </c>
      <c r="O14" t="s">
        <v>121</v>
      </c>
    </row>
    <row r="15" spans="1:15" x14ac:dyDescent="0.3">
      <c r="A15">
        <v>1066</v>
      </c>
      <c r="B15" t="s">
        <v>122</v>
      </c>
      <c r="C15" t="s">
        <v>123</v>
      </c>
      <c r="E15" t="s">
        <v>110</v>
      </c>
      <c r="G15" t="s">
        <v>124</v>
      </c>
      <c r="H15" t="s">
        <v>106</v>
      </c>
      <c r="I15" t="s">
        <v>125</v>
      </c>
      <c r="J15" t="s">
        <v>119</v>
      </c>
      <c r="K15" t="s">
        <v>66</v>
      </c>
      <c r="L15" t="s">
        <v>126</v>
      </c>
      <c r="M15" t="s">
        <v>88</v>
      </c>
      <c r="N15" t="s">
        <v>55</v>
      </c>
      <c r="O15" t="s">
        <v>34</v>
      </c>
    </row>
    <row r="16" spans="1:15" x14ac:dyDescent="0.3">
      <c r="A16">
        <v>1154</v>
      </c>
      <c r="B16" t="s">
        <v>127</v>
      </c>
      <c r="C16" t="s">
        <v>128</v>
      </c>
      <c r="D16" t="s">
        <v>129</v>
      </c>
      <c r="E16" t="s">
        <v>60</v>
      </c>
      <c r="F16" t="s">
        <v>130</v>
      </c>
      <c r="G16" t="s">
        <v>131</v>
      </c>
      <c r="H16" t="s">
        <v>132</v>
      </c>
      <c r="I16" t="s">
        <v>64</v>
      </c>
      <c r="J16" t="s">
        <v>119</v>
      </c>
      <c r="K16" t="s">
        <v>112</v>
      </c>
      <c r="L16" t="s">
        <v>120</v>
      </c>
      <c r="M16" t="s">
        <v>44</v>
      </c>
      <c r="N16" t="s">
        <v>133</v>
      </c>
      <c r="O16" t="s">
        <v>34</v>
      </c>
    </row>
    <row r="17" spans="1:15" x14ac:dyDescent="0.3">
      <c r="A17">
        <v>1161</v>
      </c>
      <c r="B17" t="s">
        <v>134</v>
      </c>
      <c r="C17" t="s">
        <v>101</v>
      </c>
      <c r="D17" t="s">
        <v>135</v>
      </c>
      <c r="E17" t="s">
        <v>38</v>
      </c>
      <c r="F17" t="s">
        <v>136</v>
      </c>
      <c r="G17" t="s">
        <v>124</v>
      </c>
      <c r="H17" t="s">
        <v>63</v>
      </c>
      <c r="I17" t="s">
        <v>137</v>
      </c>
      <c r="J17" t="s">
        <v>53</v>
      </c>
      <c r="K17" t="s">
        <v>53</v>
      </c>
      <c r="L17" t="s">
        <v>138</v>
      </c>
      <c r="M17" t="s">
        <v>44</v>
      </c>
      <c r="N17" t="s">
        <v>33</v>
      </c>
      <c r="O17" t="s">
        <v>56</v>
      </c>
    </row>
    <row r="18" spans="1:15" x14ac:dyDescent="0.3">
      <c r="A18">
        <v>1025</v>
      </c>
      <c r="B18" t="s">
        <v>139</v>
      </c>
      <c r="C18" t="s">
        <v>16</v>
      </c>
      <c r="D18" t="s">
        <v>48</v>
      </c>
      <c r="E18" t="s">
        <v>38</v>
      </c>
      <c r="F18" t="s">
        <v>140</v>
      </c>
      <c r="G18" t="s">
        <v>141</v>
      </c>
      <c r="H18" t="s">
        <v>106</v>
      </c>
      <c r="I18" t="s">
        <v>137</v>
      </c>
      <c r="J18" t="s">
        <v>43</v>
      </c>
      <c r="K18" t="s">
        <v>54</v>
      </c>
      <c r="L18" t="s">
        <v>43</v>
      </c>
      <c r="M18" t="s">
        <v>142</v>
      </c>
      <c r="N18" t="s">
        <v>133</v>
      </c>
      <c r="O18" t="s">
        <v>34</v>
      </c>
    </row>
    <row r="19" spans="1:15" x14ac:dyDescent="0.3">
      <c r="A19">
        <v>1103</v>
      </c>
      <c r="C19" t="s">
        <v>36</v>
      </c>
      <c r="D19" t="s">
        <v>48</v>
      </c>
      <c r="E19" t="s">
        <v>103</v>
      </c>
      <c r="F19" t="s">
        <v>143</v>
      </c>
      <c r="G19" t="s">
        <v>144</v>
      </c>
      <c r="J19" t="s">
        <v>30</v>
      </c>
      <c r="K19" t="s">
        <v>112</v>
      </c>
      <c r="L19" t="s">
        <v>30</v>
      </c>
      <c r="M19" t="s">
        <v>80</v>
      </c>
      <c r="N19" t="s">
        <v>33</v>
      </c>
      <c r="O19" t="s">
        <v>145</v>
      </c>
    </row>
    <row r="20" spans="1:15" x14ac:dyDescent="0.3">
      <c r="A20">
        <v>1159</v>
      </c>
      <c r="B20" t="s">
        <v>146</v>
      </c>
      <c r="C20" t="s">
        <v>147</v>
      </c>
      <c r="D20" t="s">
        <v>17</v>
      </c>
      <c r="E20" t="s">
        <v>148</v>
      </c>
      <c r="F20" t="s">
        <v>149</v>
      </c>
      <c r="G20" t="s">
        <v>105</v>
      </c>
      <c r="H20" t="s">
        <v>150</v>
      </c>
      <c r="I20" t="s">
        <v>125</v>
      </c>
      <c r="J20" t="s">
        <v>43</v>
      </c>
      <c r="K20" t="s">
        <v>31</v>
      </c>
      <c r="L20" t="s">
        <v>43</v>
      </c>
      <c r="N20" t="s">
        <v>55</v>
      </c>
      <c r="O20" t="s">
        <v>145</v>
      </c>
    </row>
    <row r="21" spans="1:15" x14ac:dyDescent="0.3">
      <c r="A21">
        <v>1047</v>
      </c>
      <c r="B21" t="s">
        <v>151</v>
      </c>
      <c r="C21" t="s">
        <v>83</v>
      </c>
      <c r="D21" t="s">
        <v>59</v>
      </c>
      <c r="E21" t="s">
        <v>25</v>
      </c>
      <c r="F21" t="s">
        <v>84</v>
      </c>
      <c r="G21" t="s">
        <v>144</v>
      </c>
      <c r="H21" t="s">
        <v>132</v>
      </c>
      <c r="I21" t="s">
        <v>152</v>
      </c>
      <c r="J21" t="s">
        <v>53</v>
      </c>
      <c r="K21" t="s">
        <v>87</v>
      </c>
      <c r="L21" t="s">
        <v>153</v>
      </c>
      <c r="M21" t="s">
        <v>75</v>
      </c>
      <c r="N21" t="s">
        <v>69</v>
      </c>
      <c r="O21" t="s">
        <v>46</v>
      </c>
    </row>
    <row r="22" spans="1:15" x14ac:dyDescent="0.3">
      <c r="A22">
        <v>1005</v>
      </c>
      <c r="B22" t="s">
        <v>154</v>
      </c>
      <c r="C22" t="s">
        <v>71</v>
      </c>
      <c r="D22" t="s">
        <v>59</v>
      </c>
      <c r="E22" t="s">
        <v>110</v>
      </c>
      <c r="F22" t="s">
        <v>155</v>
      </c>
      <c r="G22" t="s">
        <v>156</v>
      </c>
      <c r="I22" t="s">
        <v>64</v>
      </c>
      <c r="J22" t="s">
        <v>30</v>
      </c>
      <c r="K22" t="s">
        <v>30</v>
      </c>
      <c r="L22" t="s">
        <v>30</v>
      </c>
      <c r="M22" t="s">
        <v>142</v>
      </c>
      <c r="N22" t="s">
        <v>45</v>
      </c>
      <c r="O22" t="s">
        <v>46</v>
      </c>
    </row>
    <row r="23" spans="1:15" x14ac:dyDescent="0.3">
      <c r="A23">
        <v>1018</v>
      </c>
      <c r="B23" t="s">
        <v>157</v>
      </c>
      <c r="C23" t="s">
        <v>158</v>
      </c>
      <c r="D23" t="s">
        <v>37</v>
      </c>
      <c r="E23" t="s">
        <v>159</v>
      </c>
      <c r="F23" t="s">
        <v>160</v>
      </c>
      <c r="G23" t="s">
        <v>62</v>
      </c>
      <c r="H23" t="s">
        <v>132</v>
      </c>
      <c r="J23" t="s">
        <v>43</v>
      </c>
      <c r="K23" t="s">
        <v>66</v>
      </c>
      <c r="L23" t="s">
        <v>43</v>
      </c>
      <c r="M23" t="s">
        <v>142</v>
      </c>
      <c r="N23" t="s">
        <v>45</v>
      </c>
      <c r="O23" t="s">
        <v>81</v>
      </c>
    </row>
    <row r="24" spans="1:15" x14ac:dyDescent="0.3">
      <c r="A24">
        <v>1147</v>
      </c>
      <c r="B24" t="s">
        <v>161</v>
      </c>
      <c r="C24" t="s">
        <v>147</v>
      </c>
      <c r="D24" t="s">
        <v>17</v>
      </c>
      <c r="E24" t="s">
        <v>148</v>
      </c>
      <c r="F24" t="s">
        <v>149</v>
      </c>
      <c r="G24" t="s">
        <v>162</v>
      </c>
      <c r="H24" t="s">
        <v>150</v>
      </c>
      <c r="I24" t="s">
        <v>42</v>
      </c>
      <c r="J24" t="s">
        <v>30</v>
      </c>
      <c r="K24" t="s">
        <v>30</v>
      </c>
      <c r="L24" t="s">
        <v>30</v>
      </c>
      <c r="M24" t="s">
        <v>44</v>
      </c>
      <c r="N24" t="s">
        <v>69</v>
      </c>
      <c r="O24" t="s">
        <v>81</v>
      </c>
    </row>
    <row r="25" spans="1:15" x14ac:dyDescent="0.3">
      <c r="A25">
        <v>1075</v>
      </c>
      <c r="B25" t="s">
        <v>163</v>
      </c>
      <c r="C25" t="s">
        <v>164</v>
      </c>
      <c r="D25" t="s">
        <v>48</v>
      </c>
      <c r="E25" t="s">
        <v>110</v>
      </c>
      <c r="F25" t="s">
        <v>165</v>
      </c>
      <c r="G25" t="s">
        <v>51</v>
      </c>
      <c r="H25" t="s">
        <v>41</v>
      </c>
      <c r="I25" t="s">
        <v>22</v>
      </c>
      <c r="J25" t="s">
        <v>43</v>
      </c>
      <c r="K25" t="s">
        <v>66</v>
      </c>
      <c r="L25" t="s">
        <v>43</v>
      </c>
      <c r="M25" t="s">
        <v>44</v>
      </c>
      <c r="N25" t="s">
        <v>133</v>
      </c>
      <c r="O25" t="s">
        <v>121</v>
      </c>
    </row>
    <row r="26" spans="1:15" x14ac:dyDescent="0.3">
      <c r="A26">
        <v>1013</v>
      </c>
      <c r="B26" t="s">
        <v>166</v>
      </c>
      <c r="C26" t="s">
        <v>128</v>
      </c>
      <c r="D26" t="s">
        <v>167</v>
      </c>
      <c r="E26" t="s">
        <v>148</v>
      </c>
      <c r="F26" t="s">
        <v>168</v>
      </c>
      <c r="G26" t="s">
        <v>144</v>
      </c>
      <c r="H26" t="s">
        <v>41</v>
      </c>
      <c r="J26" t="s">
        <v>53</v>
      </c>
      <c r="K26" t="s">
        <v>53</v>
      </c>
      <c r="L26" t="s">
        <v>138</v>
      </c>
      <c r="N26" t="s">
        <v>133</v>
      </c>
      <c r="O26" t="s">
        <v>145</v>
      </c>
    </row>
    <row r="27" spans="1:15" x14ac:dyDescent="0.3">
      <c r="A27">
        <v>1133</v>
      </c>
      <c r="B27" t="s">
        <v>169</v>
      </c>
      <c r="C27" t="s">
        <v>170</v>
      </c>
      <c r="D27" t="s">
        <v>91</v>
      </c>
      <c r="E27" t="s">
        <v>171</v>
      </c>
      <c r="F27" t="s">
        <v>172</v>
      </c>
      <c r="G27" t="s">
        <v>124</v>
      </c>
      <c r="H27" t="s">
        <v>86</v>
      </c>
      <c r="I27" t="s">
        <v>125</v>
      </c>
      <c r="J27" t="s">
        <v>173</v>
      </c>
      <c r="K27" t="s">
        <v>87</v>
      </c>
      <c r="L27" t="s">
        <v>174</v>
      </c>
      <c r="M27" t="s">
        <v>75</v>
      </c>
      <c r="O27" t="s">
        <v>81</v>
      </c>
    </row>
    <row r="28" spans="1:15" x14ac:dyDescent="0.3">
      <c r="A28">
        <v>1095</v>
      </c>
      <c r="B28" t="s">
        <v>175</v>
      </c>
      <c r="C28" t="s">
        <v>71</v>
      </c>
      <c r="D28" t="s">
        <v>167</v>
      </c>
      <c r="H28" t="s">
        <v>117</v>
      </c>
      <c r="I28" t="s">
        <v>42</v>
      </c>
      <c r="J28" t="s">
        <v>65</v>
      </c>
      <c r="K28" t="s">
        <v>43</v>
      </c>
      <c r="L28" t="s">
        <v>176</v>
      </c>
      <c r="M28" t="s">
        <v>142</v>
      </c>
      <c r="N28" t="s">
        <v>45</v>
      </c>
      <c r="O28" t="s">
        <v>81</v>
      </c>
    </row>
    <row r="29" spans="1:15" x14ac:dyDescent="0.3">
      <c r="A29">
        <v>1103</v>
      </c>
      <c r="C29" t="s">
        <v>177</v>
      </c>
      <c r="D29" t="s">
        <v>48</v>
      </c>
      <c r="E29" t="s">
        <v>103</v>
      </c>
      <c r="F29" t="s">
        <v>143</v>
      </c>
      <c r="G29" t="s">
        <v>178</v>
      </c>
      <c r="J29" t="s">
        <v>30</v>
      </c>
      <c r="K29" t="s">
        <v>112</v>
      </c>
      <c r="L29" t="s">
        <v>30</v>
      </c>
      <c r="M29" t="s">
        <v>80</v>
      </c>
      <c r="N29" t="s">
        <v>33</v>
      </c>
      <c r="O29" t="s">
        <v>145</v>
      </c>
    </row>
    <row r="30" spans="1:15" x14ac:dyDescent="0.3">
      <c r="A30">
        <v>1117</v>
      </c>
      <c r="B30" t="s">
        <v>179</v>
      </c>
      <c r="C30" t="s">
        <v>16</v>
      </c>
      <c r="E30" t="s">
        <v>148</v>
      </c>
      <c r="G30" t="s">
        <v>105</v>
      </c>
      <c r="H30" t="s">
        <v>41</v>
      </c>
      <c r="I30" t="s">
        <v>107</v>
      </c>
      <c r="J30" t="s">
        <v>87</v>
      </c>
      <c r="K30" t="s">
        <v>112</v>
      </c>
      <c r="L30" t="s">
        <v>87</v>
      </c>
      <c r="M30" t="s">
        <v>32</v>
      </c>
      <c r="N30" t="s">
        <v>33</v>
      </c>
      <c r="O30" t="s">
        <v>145</v>
      </c>
    </row>
    <row r="31" spans="1:15" x14ac:dyDescent="0.3">
      <c r="A31">
        <v>1004</v>
      </c>
      <c r="B31" t="s">
        <v>180</v>
      </c>
      <c r="C31" t="s">
        <v>36</v>
      </c>
      <c r="D31" t="s">
        <v>59</v>
      </c>
      <c r="E31" t="s">
        <v>115</v>
      </c>
      <c r="F31" t="s">
        <v>181</v>
      </c>
      <c r="G31" t="s">
        <v>182</v>
      </c>
      <c r="H31" t="s">
        <v>93</v>
      </c>
      <c r="I31" t="s">
        <v>64</v>
      </c>
      <c r="J31" t="s">
        <v>65</v>
      </c>
      <c r="M31" t="s">
        <v>80</v>
      </c>
      <c r="N31" t="s">
        <v>133</v>
      </c>
      <c r="O31" t="s">
        <v>76</v>
      </c>
    </row>
    <row r="32" spans="1:15" x14ac:dyDescent="0.3">
      <c r="A32">
        <v>1058</v>
      </c>
      <c r="B32" t="s">
        <v>183</v>
      </c>
      <c r="C32" t="s">
        <v>114</v>
      </c>
      <c r="D32" t="s">
        <v>129</v>
      </c>
      <c r="E32" t="s">
        <v>103</v>
      </c>
      <c r="F32" t="s">
        <v>184</v>
      </c>
      <c r="G32" t="s">
        <v>144</v>
      </c>
      <c r="H32" t="s">
        <v>41</v>
      </c>
      <c r="I32" t="s">
        <v>118</v>
      </c>
      <c r="J32" t="s">
        <v>173</v>
      </c>
      <c r="K32" t="s">
        <v>185</v>
      </c>
      <c r="L32" t="s">
        <v>186</v>
      </c>
      <c r="M32" t="s">
        <v>88</v>
      </c>
      <c r="N32" t="s">
        <v>69</v>
      </c>
      <c r="O32" t="s">
        <v>145</v>
      </c>
    </row>
    <row r="33" spans="1:15" x14ac:dyDescent="0.3">
      <c r="A33">
        <v>1110</v>
      </c>
      <c r="B33" t="s">
        <v>187</v>
      </c>
      <c r="C33" t="s">
        <v>90</v>
      </c>
      <c r="D33" t="s">
        <v>17</v>
      </c>
      <c r="E33" t="s">
        <v>49</v>
      </c>
      <c r="F33" t="s">
        <v>188</v>
      </c>
      <c r="G33" t="s">
        <v>40</v>
      </c>
      <c r="H33" t="s">
        <v>150</v>
      </c>
      <c r="I33" t="s">
        <v>118</v>
      </c>
      <c r="J33" t="s">
        <v>189</v>
      </c>
      <c r="K33" t="s">
        <v>43</v>
      </c>
      <c r="L33" t="s">
        <v>190</v>
      </c>
      <c r="M33" t="s">
        <v>191</v>
      </c>
      <c r="N33" t="s">
        <v>33</v>
      </c>
      <c r="O33" t="s">
        <v>81</v>
      </c>
    </row>
    <row r="34" spans="1:15" x14ac:dyDescent="0.3">
      <c r="A34">
        <v>1167</v>
      </c>
      <c r="B34" t="s">
        <v>192</v>
      </c>
      <c r="C34" t="s">
        <v>164</v>
      </c>
      <c r="D34" t="s">
        <v>129</v>
      </c>
      <c r="E34" t="s">
        <v>25</v>
      </c>
      <c r="F34" t="s">
        <v>193</v>
      </c>
      <c r="G34" t="s">
        <v>20</v>
      </c>
      <c r="H34" t="s">
        <v>63</v>
      </c>
      <c r="I34" t="s">
        <v>42</v>
      </c>
      <c r="J34" t="s">
        <v>43</v>
      </c>
      <c r="K34" t="s">
        <v>54</v>
      </c>
      <c r="L34" t="s">
        <v>43</v>
      </c>
      <c r="M34" t="s">
        <v>80</v>
      </c>
      <c r="N34" t="s">
        <v>33</v>
      </c>
      <c r="O34" t="s">
        <v>76</v>
      </c>
    </row>
    <row r="35" spans="1:15" x14ac:dyDescent="0.3">
      <c r="A35">
        <v>1019</v>
      </c>
      <c r="B35" t="s">
        <v>175</v>
      </c>
      <c r="C35" t="s">
        <v>90</v>
      </c>
      <c r="D35" t="s">
        <v>59</v>
      </c>
      <c r="E35" t="s">
        <v>115</v>
      </c>
      <c r="F35" t="s">
        <v>181</v>
      </c>
      <c r="G35" t="s">
        <v>156</v>
      </c>
      <c r="H35" t="s">
        <v>86</v>
      </c>
      <c r="I35" t="s">
        <v>80</v>
      </c>
      <c r="J35" t="s">
        <v>119</v>
      </c>
      <c r="M35" t="s">
        <v>88</v>
      </c>
      <c r="N35" t="s">
        <v>69</v>
      </c>
      <c r="O35" t="s">
        <v>76</v>
      </c>
    </row>
    <row r="36" spans="1:15" x14ac:dyDescent="0.3">
      <c r="A36">
        <v>1130</v>
      </c>
      <c r="B36" t="s">
        <v>194</v>
      </c>
      <c r="C36" t="s">
        <v>114</v>
      </c>
      <c r="D36" t="s">
        <v>102</v>
      </c>
      <c r="E36" t="s">
        <v>148</v>
      </c>
      <c r="F36" t="s">
        <v>195</v>
      </c>
      <c r="G36" t="s">
        <v>85</v>
      </c>
      <c r="H36" t="s">
        <v>74</v>
      </c>
      <c r="I36" t="s">
        <v>80</v>
      </c>
      <c r="K36" t="s">
        <v>53</v>
      </c>
      <c r="M36" t="s">
        <v>44</v>
      </c>
      <c r="N36" t="s">
        <v>33</v>
      </c>
      <c r="O36" t="s">
        <v>76</v>
      </c>
    </row>
    <row r="37" spans="1:15" x14ac:dyDescent="0.3">
      <c r="A37">
        <v>1089</v>
      </c>
      <c r="C37" t="s">
        <v>128</v>
      </c>
      <c r="D37" t="s">
        <v>91</v>
      </c>
      <c r="E37" t="s">
        <v>159</v>
      </c>
      <c r="F37" t="s">
        <v>196</v>
      </c>
      <c r="G37" t="s">
        <v>131</v>
      </c>
      <c r="H37" t="s">
        <v>63</v>
      </c>
      <c r="I37" t="s">
        <v>42</v>
      </c>
      <c r="J37" t="s">
        <v>53</v>
      </c>
      <c r="M37" t="s">
        <v>75</v>
      </c>
      <c r="O37" t="s">
        <v>56</v>
      </c>
    </row>
    <row r="38" spans="1:15" x14ac:dyDescent="0.3">
      <c r="A38">
        <v>1010</v>
      </c>
      <c r="B38" t="s">
        <v>197</v>
      </c>
      <c r="C38" t="s">
        <v>170</v>
      </c>
      <c r="D38" t="s">
        <v>59</v>
      </c>
      <c r="E38" t="s">
        <v>159</v>
      </c>
      <c r="F38" t="s">
        <v>198</v>
      </c>
      <c r="G38" t="s">
        <v>182</v>
      </c>
      <c r="H38" t="s">
        <v>41</v>
      </c>
      <c r="I38" t="s">
        <v>80</v>
      </c>
      <c r="J38" t="s">
        <v>65</v>
      </c>
      <c r="K38" t="s">
        <v>54</v>
      </c>
      <c r="L38" t="s">
        <v>199</v>
      </c>
      <c r="M38" t="s">
        <v>44</v>
      </c>
      <c r="N38" t="s">
        <v>45</v>
      </c>
      <c r="O38" t="s">
        <v>34</v>
      </c>
    </row>
    <row r="39" spans="1:15" x14ac:dyDescent="0.3">
      <c r="A39">
        <v>1010</v>
      </c>
      <c r="B39" t="s">
        <v>200</v>
      </c>
      <c r="C39" t="s">
        <v>24</v>
      </c>
      <c r="D39" t="s">
        <v>48</v>
      </c>
      <c r="E39" t="s">
        <v>18</v>
      </c>
      <c r="F39" t="s">
        <v>201</v>
      </c>
      <c r="G39" t="s">
        <v>202</v>
      </c>
      <c r="H39" t="s">
        <v>203</v>
      </c>
      <c r="I39" t="s">
        <v>204</v>
      </c>
      <c r="J39" t="s">
        <v>43</v>
      </c>
      <c r="K39" t="s">
        <v>43</v>
      </c>
      <c r="L39" t="s">
        <v>185</v>
      </c>
      <c r="N39" t="s">
        <v>133</v>
      </c>
      <c r="O39" t="s">
        <v>81</v>
      </c>
    </row>
    <row r="40" spans="1:15" x14ac:dyDescent="0.3">
      <c r="A40">
        <v>1083</v>
      </c>
      <c r="B40" t="s">
        <v>205</v>
      </c>
      <c r="C40" t="s">
        <v>123</v>
      </c>
      <c r="D40" t="s">
        <v>59</v>
      </c>
      <c r="F40" t="s">
        <v>206</v>
      </c>
      <c r="G40" t="s">
        <v>141</v>
      </c>
      <c r="H40" t="s">
        <v>41</v>
      </c>
      <c r="I40" t="s">
        <v>118</v>
      </c>
      <c r="J40" t="s">
        <v>207</v>
      </c>
      <c r="K40" t="s">
        <v>30</v>
      </c>
      <c r="L40" t="s">
        <v>208</v>
      </c>
      <c r="M40" t="s">
        <v>80</v>
      </c>
      <c r="O40" t="s">
        <v>81</v>
      </c>
    </row>
    <row r="41" spans="1:15" x14ac:dyDescent="0.3">
      <c r="A41">
        <v>1121</v>
      </c>
      <c r="B41" t="s">
        <v>209</v>
      </c>
      <c r="C41" t="s">
        <v>58</v>
      </c>
      <c r="D41" t="s">
        <v>167</v>
      </c>
      <c r="E41" t="s">
        <v>60</v>
      </c>
      <c r="F41" t="s">
        <v>210</v>
      </c>
      <c r="G41" t="s">
        <v>116</v>
      </c>
      <c r="H41" t="s">
        <v>21</v>
      </c>
      <c r="I41" t="s">
        <v>80</v>
      </c>
      <c r="J41" t="s">
        <v>173</v>
      </c>
      <c r="K41" t="s">
        <v>54</v>
      </c>
      <c r="L41" t="s">
        <v>211</v>
      </c>
      <c r="M41" t="s">
        <v>32</v>
      </c>
      <c r="N41" t="s">
        <v>45</v>
      </c>
      <c r="O41" t="s">
        <v>145</v>
      </c>
    </row>
    <row r="42" spans="1:15" x14ac:dyDescent="0.3">
      <c r="A42">
        <v>1140</v>
      </c>
      <c r="B42" t="s">
        <v>212</v>
      </c>
      <c r="C42" t="s">
        <v>213</v>
      </c>
      <c r="D42" t="s">
        <v>17</v>
      </c>
      <c r="E42" t="s">
        <v>25</v>
      </c>
      <c r="F42" t="s">
        <v>26</v>
      </c>
      <c r="G42" t="s">
        <v>124</v>
      </c>
      <c r="H42" t="s">
        <v>214</v>
      </c>
      <c r="I42" t="s">
        <v>152</v>
      </c>
      <c r="K42" t="s">
        <v>112</v>
      </c>
      <c r="M42" t="s">
        <v>44</v>
      </c>
      <c r="N42" t="s">
        <v>69</v>
      </c>
      <c r="O42" t="s">
        <v>121</v>
      </c>
    </row>
    <row r="43" spans="1:15" x14ac:dyDescent="0.3">
      <c r="A43">
        <v>1129</v>
      </c>
      <c r="B43" t="s">
        <v>215</v>
      </c>
      <c r="C43" t="s">
        <v>164</v>
      </c>
      <c r="D43" t="s">
        <v>48</v>
      </c>
      <c r="E43" t="s">
        <v>103</v>
      </c>
      <c r="F43" t="s">
        <v>143</v>
      </c>
      <c r="G43" t="s">
        <v>144</v>
      </c>
      <c r="H43" t="s">
        <v>41</v>
      </c>
      <c r="I43" t="s">
        <v>80</v>
      </c>
      <c r="J43" t="s">
        <v>207</v>
      </c>
      <c r="K43" t="s">
        <v>53</v>
      </c>
      <c r="L43" t="s">
        <v>216</v>
      </c>
      <c r="M43" t="s">
        <v>88</v>
      </c>
      <c r="N43" t="s">
        <v>45</v>
      </c>
      <c r="O43" t="s">
        <v>76</v>
      </c>
    </row>
    <row r="44" spans="1:15" x14ac:dyDescent="0.3">
      <c r="A44">
        <v>1061</v>
      </c>
      <c r="B44" t="s">
        <v>217</v>
      </c>
      <c r="C44" t="s">
        <v>164</v>
      </c>
      <c r="D44" t="s">
        <v>91</v>
      </c>
      <c r="E44" t="s">
        <v>110</v>
      </c>
      <c r="F44" t="s">
        <v>218</v>
      </c>
      <c r="G44" t="s">
        <v>131</v>
      </c>
      <c r="I44" t="s">
        <v>118</v>
      </c>
      <c r="K44" t="s">
        <v>53</v>
      </c>
      <c r="N44" t="s">
        <v>133</v>
      </c>
      <c r="O44" t="s">
        <v>145</v>
      </c>
    </row>
    <row r="45" spans="1:15" x14ac:dyDescent="0.3">
      <c r="A45">
        <v>1142</v>
      </c>
      <c r="B45" t="s">
        <v>219</v>
      </c>
      <c r="C45" t="s">
        <v>71</v>
      </c>
      <c r="D45" t="s">
        <v>109</v>
      </c>
      <c r="E45" t="s">
        <v>148</v>
      </c>
      <c r="F45" t="s">
        <v>220</v>
      </c>
      <c r="G45" t="s">
        <v>105</v>
      </c>
      <c r="H45" t="s">
        <v>117</v>
      </c>
      <c r="I45" t="s">
        <v>118</v>
      </c>
      <c r="J45" t="s">
        <v>43</v>
      </c>
      <c r="K45" t="s">
        <v>30</v>
      </c>
      <c r="L45" t="s">
        <v>43</v>
      </c>
      <c r="M45" t="s">
        <v>44</v>
      </c>
      <c r="N45" t="s">
        <v>55</v>
      </c>
      <c r="O45" t="s">
        <v>121</v>
      </c>
    </row>
    <row r="46" spans="1:15" x14ac:dyDescent="0.3">
      <c r="A46">
        <v>1028</v>
      </c>
      <c r="B46" t="s">
        <v>221</v>
      </c>
      <c r="C46" t="s">
        <v>16</v>
      </c>
      <c r="D46" t="s">
        <v>59</v>
      </c>
      <c r="E46" t="s">
        <v>38</v>
      </c>
      <c r="F46" t="s">
        <v>222</v>
      </c>
      <c r="G46" t="s">
        <v>141</v>
      </c>
      <c r="H46" t="s">
        <v>52</v>
      </c>
      <c r="I46" t="s">
        <v>22</v>
      </c>
      <c r="J46" t="s">
        <v>87</v>
      </c>
      <c r="K46" t="s">
        <v>31</v>
      </c>
      <c r="L46" t="s">
        <v>87</v>
      </c>
      <c r="M46" t="s">
        <v>142</v>
      </c>
      <c r="N46" t="s">
        <v>133</v>
      </c>
      <c r="O46" t="s">
        <v>121</v>
      </c>
    </row>
    <row r="47" spans="1:15" x14ac:dyDescent="0.3">
      <c r="A47">
        <v>1041</v>
      </c>
      <c r="B47" t="s">
        <v>223</v>
      </c>
      <c r="C47" t="s">
        <v>83</v>
      </c>
      <c r="D47" t="s">
        <v>102</v>
      </c>
      <c r="E47" t="s">
        <v>110</v>
      </c>
      <c r="F47" t="s">
        <v>155</v>
      </c>
      <c r="G47" t="s">
        <v>162</v>
      </c>
      <c r="H47" t="s">
        <v>21</v>
      </c>
      <c r="I47" t="s">
        <v>125</v>
      </c>
      <c r="J47" t="s">
        <v>65</v>
      </c>
      <c r="K47" t="s">
        <v>112</v>
      </c>
      <c r="L47" t="s">
        <v>224</v>
      </c>
      <c r="M47" t="s">
        <v>88</v>
      </c>
      <c r="N47" t="s">
        <v>33</v>
      </c>
      <c r="O47" t="s">
        <v>34</v>
      </c>
    </row>
    <row r="48" spans="1:15" x14ac:dyDescent="0.3">
      <c r="A48">
        <v>1046</v>
      </c>
      <c r="B48" t="s">
        <v>225</v>
      </c>
      <c r="C48" t="s">
        <v>83</v>
      </c>
      <c r="D48" t="s">
        <v>109</v>
      </c>
      <c r="E48" t="s">
        <v>49</v>
      </c>
      <c r="F48" t="s">
        <v>226</v>
      </c>
      <c r="H48" t="s">
        <v>41</v>
      </c>
      <c r="I48" t="s">
        <v>22</v>
      </c>
      <c r="J48" t="s">
        <v>173</v>
      </c>
      <c r="K48" t="s">
        <v>53</v>
      </c>
      <c r="L48" t="s">
        <v>227</v>
      </c>
      <c r="M48" t="s">
        <v>191</v>
      </c>
      <c r="N48" t="s">
        <v>69</v>
      </c>
      <c r="O48" t="s">
        <v>145</v>
      </c>
    </row>
    <row r="49" spans="1:15" x14ac:dyDescent="0.3">
      <c r="A49">
        <v>1146</v>
      </c>
      <c r="B49" t="s">
        <v>228</v>
      </c>
      <c r="C49" t="s">
        <v>123</v>
      </c>
      <c r="D49" t="s">
        <v>48</v>
      </c>
      <c r="E49" t="s">
        <v>159</v>
      </c>
      <c r="F49" t="s">
        <v>229</v>
      </c>
      <c r="G49" t="s">
        <v>156</v>
      </c>
      <c r="H49" t="s">
        <v>63</v>
      </c>
      <c r="I49" t="s">
        <v>42</v>
      </c>
      <c r="J49" t="s">
        <v>173</v>
      </c>
      <c r="M49" t="s">
        <v>68</v>
      </c>
      <c r="N49" t="s">
        <v>69</v>
      </c>
      <c r="O49" t="s">
        <v>76</v>
      </c>
    </row>
    <row r="50" spans="1:15" x14ac:dyDescent="0.3">
      <c r="A50">
        <v>1032</v>
      </c>
      <c r="B50" t="s">
        <v>230</v>
      </c>
      <c r="C50" t="s">
        <v>158</v>
      </c>
      <c r="E50" t="s">
        <v>38</v>
      </c>
      <c r="G50" t="s">
        <v>131</v>
      </c>
      <c r="H50" t="s">
        <v>93</v>
      </c>
      <c r="J50" t="s">
        <v>189</v>
      </c>
      <c r="K50" t="s">
        <v>31</v>
      </c>
      <c r="L50" t="s">
        <v>231</v>
      </c>
      <c r="M50" t="s">
        <v>88</v>
      </c>
      <c r="N50" t="s">
        <v>69</v>
      </c>
      <c r="O50" t="s">
        <v>46</v>
      </c>
    </row>
    <row r="51" spans="1:15" x14ac:dyDescent="0.3">
      <c r="A51">
        <v>1164</v>
      </c>
      <c r="B51" t="s">
        <v>232</v>
      </c>
      <c r="C51" t="s">
        <v>36</v>
      </c>
      <c r="E51" t="s">
        <v>171</v>
      </c>
      <c r="F51" t="s">
        <v>206</v>
      </c>
      <c r="G51" t="s">
        <v>51</v>
      </c>
      <c r="H51" t="s">
        <v>150</v>
      </c>
      <c r="I51" t="s">
        <v>94</v>
      </c>
      <c r="J51" t="s">
        <v>173</v>
      </c>
      <c r="K51" t="s">
        <v>43</v>
      </c>
      <c r="L51" t="s">
        <v>233</v>
      </c>
      <c r="M51" t="s">
        <v>68</v>
      </c>
      <c r="N51" t="s">
        <v>69</v>
      </c>
      <c r="O51" t="s">
        <v>121</v>
      </c>
    </row>
    <row r="52" spans="1:15" x14ac:dyDescent="0.3">
      <c r="A52">
        <v>1033</v>
      </c>
      <c r="B52" t="s">
        <v>234</v>
      </c>
      <c r="C52" t="s">
        <v>58</v>
      </c>
      <c r="D52" t="s">
        <v>37</v>
      </c>
      <c r="E52" t="s">
        <v>72</v>
      </c>
      <c r="F52" t="s">
        <v>235</v>
      </c>
      <c r="G52" t="s">
        <v>141</v>
      </c>
      <c r="H52" t="s">
        <v>21</v>
      </c>
      <c r="I52" t="s">
        <v>22</v>
      </c>
      <c r="K52" t="s">
        <v>31</v>
      </c>
      <c r="M52" t="s">
        <v>80</v>
      </c>
      <c r="O52" t="s">
        <v>34</v>
      </c>
    </row>
    <row r="53" spans="1:15" x14ac:dyDescent="0.3">
      <c r="A53">
        <v>1014</v>
      </c>
      <c r="B53" t="s">
        <v>236</v>
      </c>
      <c r="C53" t="s">
        <v>114</v>
      </c>
      <c r="D53" t="s">
        <v>37</v>
      </c>
      <c r="E53" t="s">
        <v>49</v>
      </c>
      <c r="F53" t="s">
        <v>237</v>
      </c>
      <c r="G53" t="s">
        <v>85</v>
      </c>
      <c r="H53" t="s">
        <v>74</v>
      </c>
      <c r="I53" t="s">
        <v>152</v>
      </c>
      <c r="J53" t="s">
        <v>119</v>
      </c>
      <c r="K53" t="s">
        <v>185</v>
      </c>
      <c r="L53" t="s">
        <v>238</v>
      </c>
      <c r="M53" t="s">
        <v>75</v>
      </c>
      <c r="N53" t="s">
        <v>33</v>
      </c>
      <c r="O53" t="s">
        <v>56</v>
      </c>
    </row>
    <row r="54" spans="1:15" x14ac:dyDescent="0.3">
      <c r="A54">
        <v>1122</v>
      </c>
      <c r="B54" t="s">
        <v>239</v>
      </c>
      <c r="C54" t="s">
        <v>83</v>
      </c>
      <c r="D54" t="s">
        <v>109</v>
      </c>
      <c r="F54" t="s">
        <v>206</v>
      </c>
      <c r="G54" t="s">
        <v>20</v>
      </c>
      <c r="H54" t="s">
        <v>41</v>
      </c>
      <c r="J54" t="s">
        <v>65</v>
      </c>
      <c r="M54" t="s">
        <v>88</v>
      </c>
      <c r="N54" t="s">
        <v>69</v>
      </c>
      <c r="O54" t="s">
        <v>81</v>
      </c>
    </row>
    <row r="55" spans="1:15" x14ac:dyDescent="0.3">
      <c r="A55">
        <v>1047</v>
      </c>
      <c r="B55" t="s">
        <v>240</v>
      </c>
      <c r="C55" t="s">
        <v>213</v>
      </c>
      <c r="D55" t="s">
        <v>109</v>
      </c>
      <c r="E55" t="s">
        <v>148</v>
      </c>
      <c r="F55" t="s">
        <v>220</v>
      </c>
      <c r="G55" t="s">
        <v>182</v>
      </c>
      <c r="H55" t="s">
        <v>150</v>
      </c>
      <c r="I55" t="s">
        <v>22</v>
      </c>
      <c r="J55" t="s">
        <v>53</v>
      </c>
      <c r="K55" t="s">
        <v>43</v>
      </c>
      <c r="L55" t="s">
        <v>241</v>
      </c>
      <c r="M55" t="s">
        <v>142</v>
      </c>
      <c r="N55" t="s">
        <v>69</v>
      </c>
      <c r="O55" t="s">
        <v>34</v>
      </c>
    </row>
    <row r="56" spans="1:15" x14ac:dyDescent="0.3">
      <c r="A56">
        <v>1095</v>
      </c>
      <c r="B56" t="s">
        <v>242</v>
      </c>
      <c r="C56" t="s">
        <v>58</v>
      </c>
      <c r="D56" t="s">
        <v>135</v>
      </c>
      <c r="F56" t="s">
        <v>206</v>
      </c>
      <c r="H56" t="s">
        <v>214</v>
      </c>
      <c r="I56" t="s">
        <v>94</v>
      </c>
      <c r="J56" t="s">
        <v>65</v>
      </c>
      <c r="K56" t="s">
        <v>54</v>
      </c>
      <c r="L56" t="s">
        <v>199</v>
      </c>
      <c r="M56" t="s">
        <v>80</v>
      </c>
      <c r="N56" t="s">
        <v>133</v>
      </c>
      <c r="O56" t="s">
        <v>145</v>
      </c>
    </row>
    <row r="57" spans="1:15" x14ac:dyDescent="0.3">
      <c r="A57">
        <v>1029</v>
      </c>
      <c r="B57" t="s">
        <v>243</v>
      </c>
      <c r="C57" t="s">
        <v>244</v>
      </c>
      <c r="D57" t="s">
        <v>91</v>
      </c>
      <c r="G57" t="s">
        <v>245</v>
      </c>
      <c r="H57" t="s">
        <v>98</v>
      </c>
      <c r="J57" t="s">
        <v>185</v>
      </c>
      <c r="K57" t="s">
        <v>53</v>
      </c>
      <c r="L57" t="s">
        <v>246</v>
      </c>
      <c r="M57" t="s">
        <v>68</v>
      </c>
      <c r="N57" t="s">
        <v>33</v>
      </c>
      <c r="O57" t="s">
        <v>121</v>
      </c>
    </row>
    <row r="58" spans="1:15" x14ac:dyDescent="0.3">
      <c r="A58">
        <v>1019</v>
      </c>
      <c r="B58" t="s">
        <v>247</v>
      </c>
      <c r="C58" t="s">
        <v>158</v>
      </c>
      <c r="D58" t="s">
        <v>102</v>
      </c>
      <c r="E58" t="s">
        <v>25</v>
      </c>
      <c r="F58" t="s">
        <v>84</v>
      </c>
      <c r="G58" t="s">
        <v>131</v>
      </c>
      <c r="H58" t="s">
        <v>63</v>
      </c>
      <c r="I58" t="s">
        <v>125</v>
      </c>
      <c r="J58" t="s">
        <v>65</v>
      </c>
      <c r="K58" t="s">
        <v>185</v>
      </c>
      <c r="L58" t="s">
        <v>248</v>
      </c>
      <c r="N58" t="s">
        <v>133</v>
      </c>
    </row>
    <row r="59" spans="1:15" x14ac:dyDescent="0.3">
      <c r="A59">
        <v>1115</v>
      </c>
      <c r="B59" t="s">
        <v>249</v>
      </c>
      <c r="C59" t="s">
        <v>213</v>
      </c>
      <c r="E59" t="s">
        <v>110</v>
      </c>
      <c r="G59" t="s">
        <v>62</v>
      </c>
      <c r="H59" t="s">
        <v>86</v>
      </c>
      <c r="I59" t="s">
        <v>125</v>
      </c>
      <c r="J59" t="s">
        <v>173</v>
      </c>
      <c r="K59" t="s">
        <v>53</v>
      </c>
      <c r="L59" t="s">
        <v>227</v>
      </c>
      <c r="M59" t="s">
        <v>88</v>
      </c>
      <c r="N59" t="s">
        <v>133</v>
      </c>
      <c r="O59" t="s">
        <v>81</v>
      </c>
    </row>
    <row r="60" spans="1:15" x14ac:dyDescent="0.3">
      <c r="A60">
        <v>1166</v>
      </c>
      <c r="B60" t="s">
        <v>250</v>
      </c>
      <c r="C60" t="s">
        <v>158</v>
      </c>
      <c r="D60" t="s">
        <v>129</v>
      </c>
      <c r="E60" t="s">
        <v>60</v>
      </c>
      <c r="F60" t="s">
        <v>130</v>
      </c>
      <c r="H60" t="s">
        <v>74</v>
      </c>
      <c r="I60" t="s">
        <v>118</v>
      </c>
      <c r="J60" t="s">
        <v>30</v>
      </c>
      <c r="K60" t="s">
        <v>54</v>
      </c>
      <c r="L60" t="s">
        <v>30</v>
      </c>
      <c r="M60" t="s">
        <v>75</v>
      </c>
      <c r="N60" t="s">
        <v>45</v>
      </c>
      <c r="O60" t="s">
        <v>76</v>
      </c>
    </row>
    <row r="61" spans="1:15" x14ac:dyDescent="0.3">
      <c r="A61">
        <v>1155</v>
      </c>
      <c r="B61" t="s">
        <v>251</v>
      </c>
      <c r="C61" t="s">
        <v>252</v>
      </c>
      <c r="D61" t="s">
        <v>91</v>
      </c>
      <c r="E61" t="s">
        <v>171</v>
      </c>
      <c r="F61" t="s">
        <v>172</v>
      </c>
      <c r="G61" t="s">
        <v>253</v>
      </c>
      <c r="H61" t="s">
        <v>254</v>
      </c>
      <c r="I61" t="s">
        <v>255</v>
      </c>
      <c r="J61" t="s">
        <v>185</v>
      </c>
      <c r="K61" t="s">
        <v>185</v>
      </c>
      <c r="L61" t="s">
        <v>256</v>
      </c>
      <c r="M61" t="s">
        <v>68</v>
      </c>
      <c r="N61" t="s">
        <v>55</v>
      </c>
      <c r="O61" t="s">
        <v>56</v>
      </c>
    </row>
    <row r="62" spans="1:15" x14ac:dyDescent="0.3">
      <c r="A62">
        <v>1097</v>
      </c>
      <c r="B62" t="s">
        <v>257</v>
      </c>
      <c r="C62" t="s">
        <v>101</v>
      </c>
      <c r="E62" t="s">
        <v>38</v>
      </c>
      <c r="F62" t="s">
        <v>206</v>
      </c>
      <c r="G62" t="s">
        <v>182</v>
      </c>
      <c r="H62" t="s">
        <v>21</v>
      </c>
      <c r="I62" t="s">
        <v>94</v>
      </c>
      <c r="J62" t="s">
        <v>43</v>
      </c>
      <c r="K62" t="s">
        <v>31</v>
      </c>
      <c r="L62" t="s">
        <v>43</v>
      </c>
      <c r="M62" t="s">
        <v>142</v>
      </c>
      <c r="N62" t="s">
        <v>45</v>
      </c>
      <c r="O62" t="s">
        <v>34</v>
      </c>
    </row>
    <row r="63" spans="1:15" x14ac:dyDescent="0.3">
      <c r="A63">
        <v>1059</v>
      </c>
      <c r="B63" t="s">
        <v>258</v>
      </c>
      <c r="C63" t="s">
        <v>90</v>
      </c>
      <c r="D63" t="s">
        <v>91</v>
      </c>
      <c r="E63" t="s">
        <v>159</v>
      </c>
      <c r="F63" t="s">
        <v>196</v>
      </c>
      <c r="G63" t="s">
        <v>85</v>
      </c>
      <c r="H63" t="s">
        <v>86</v>
      </c>
      <c r="I63" t="s">
        <v>107</v>
      </c>
      <c r="J63" t="s">
        <v>185</v>
      </c>
      <c r="K63" t="s">
        <v>185</v>
      </c>
      <c r="L63" t="s">
        <v>256</v>
      </c>
      <c r="M63" t="s">
        <v>80</v>
      </c>
      <c r="N63" t="s">
        <v>133</v>
      </c>
    </row>
    <row r="64" spans="1:15" x14ac:dyDescent="0.3">
      <c r="A64">
        <v>1118</v>
      </c>
      <c r="B64" t="s">
        <v>259</v>
      </c>
      <c r="C64" t="s">
        <v>114</v>
      </c>
      <c r="D64" t="s">
        <v>37</v>
      </c>
      <c r="E64" t="s">
        <v>148</v>
      </c>
      <c r="F64" t="s">
        <v>260</v>
      </c>
      <c r="G64" t="s">
        <v>105</v>
      </c>
      <c r="H64" t="s">
        <v>21</v>
      </c>
      <c r="I64" t="s">
        <v>64</v>
      </c>
      <c r="J64" t="s">
        <v>43</v>
      </c>
      <c r="K64" t="s">
        <v>87</v>
      </c>
      <c r="L64" t="s">
        <v>261</v>
      </c>
      <c r="M64" t="s">
        <v>68</v>
      </c>
      <c r="N64" t="s">
        <v>133</v>
      </c>
      <c r="O64" t="s">
        <v>81</v>
      </c>
    </row>
    <row r="65" spans="1:15" x14ac:dyDescent="0.3">
      <c r="A65">
        <v>1096</v>
      </c>
      <c r="B65" t="s">
        <v>262</v>
      </c>
      <c r="D65" t="s">
        <v>129</v>
      </c>
      <c r="E65" t="s">
        <v>18</v>
      </c>
      <c r="F65" t="s">
        <v>263</v>
      </c>
      <c r="G65" t="s">
        <v>85</v>
      </c>
      <c r="I65" t="s">
        <v>94</v>
      </c>
      <c r="K65" t="s">
        <v>112</v>
      </c>
      <c r="M65" t="s">
        <v>68</v>
      </c>
      <c r="N65" t="s">
        <v>55</v>
      </c>
    </row>
    <row r="66" spans="1:15" x14ac:dyDescent="0.3">
      <c r="A66">
        <v>1037</v>
      </c>
      <c r="B66" t="s">
        <v>264</v>
      </c>
      <c r="C66" t="s">
        <v>170</v>
      </c>
      <c r="D66" t="s">
        <v>135</v>
      </c>
      <c r="E66" t="s">
        <v>38</v>
      </c>
      <c r="F66" t="s">
        <v>136</v>
      </c>
      <c r="G66" t="s">
        <v>20</v>
      </c>
      <c r="H66" t="s">
        <v>63</v>
      </c>
      <c r="I66" t="s">
        <v>94</v>
      </c>
      <c r="J66" t="s">
        <v>207</v>
      </c>
      <c r="K66" t="s">
        <v>66</v>
      </c>
      <c r="L66" t="s">
        <v>265</v>
      </c>
      <c r="M66" t="s">
        <v>32</v>
      </c>
      <c r="N66" t="s">
        <v>45</v>
      </c>
      <c r="O66" t="s">
        <v>46</v>
      </c>
    </row>
    <row r="67" spans="1:15" x14ac:dyDescent="0.3">
      <c r="A67">
        <v>1086</v>
      </c>
      <c r="B67" t="s">
        <v>266</v>
      </c>
      <c r="C67" t="s">
        <v>71</v>
      </c>
      <c r="D67" t="s">
        <v>129</v>
      </c>
      <c r="E67" t="s">
        <v>60</v>
      </c>
      <c r="F67" t="s">
        <v>130</v>
      </c>
      <c r="H67" t="s">
        <v>117</v>
      </c>
      <c r="I67" t="s">
        <v>152</v>
      </c>
      <c r="J67" t="s">
        <v>53</v>
      </c>
      <c r="K67" t="s">
        <v>112</v>
      </c>
      <c r="L67" t="s">
        <v>53</v>
      </c>
      <c r="M67" t="s">
        <v>32</v>
      </c>
      <c r="N67" t="s">
        <v>133</v>
      </c>
      <c r="O67" t="s">
        <v>46</v>
      </c>
    </row>
    <row r="68" spans="1:15" x14ac:dyDescent="0.3">
      <c r="A68">
        <v>1003</v>
      </c>
      <c r="B68" t="s">
        <v>267</v>
      </c>
      <c r="D68" t="s">
        <v>37</v>
      </c>
      <c r="E68" t="s">
        <v>72</v>
      </c>
      <c r="F68" t="s">
        <v>235</v>
      </c>
      <c r="G68" t="s">
        <v>268</v>
      </c>
      <c r="H68" t="s">
        <v>98</v>
      </c>
      <c r="I68" t="s">
        <v>269</v>
      </c>
      <c r="J68" t="s">
        <v>43</v>
      </c>
      <c r="K68" t="s">
        <v>43</v>
      </c>
      <c r="L68" t="s">
        <v>185</v>
      </c>
      <c r="M68" t="s">
        <v>80</v>
      </c>
      <c r="N68" t="s">
        <v>45</v>
      </c>
      <c r="O68" t="s">
        <v>81</v>
      </c>
    </row>
    <row r="69" spans="1:15" x14ac:dyDescent="0.3">
      <c r="A69">
        <v>1052</v>
      </c>
      <c r="B69" t="s">
        <v>270</v>
      </c>
      <c r="C69" t="s">
        <v>271</v>
      </c>
      <c r="D69" t="s">
        <v>17</v>
      </c>
      <c r="E69" t="s">
        <v>110</v>
      </c>
      <c r="F69" t="s">
        <v>272</v>
      </c>
      <c r="G69" t="s">
        <v>51</v>
      </c>
      <c r="H69" t="s">
        <v>52</v>
      </c>
      <c r="I69" t="s">
        <v>137</v>
      </c>
      <c r="J69" t="s">
        <v>207</v>
      </c>
      <c r="K69" t="s">
        <v>66</v>
      </c>
      <c r="L69" t="s">
        <v>265</v>
      </c>
      <c r="M69" t="s">
        <v>68</v>
      </c>
      <c r="N69" t="s">
        <v>133</v>
      </c>
      <c r="O69" t="s">
        <v>46</v>
      </c>
    </row>
    <row r="70" spans="1:15" x14ac:dyDescent="0.3">
      <c r="A70">
        <v>1174</v>
      </c>
      <c r="B70" t="s">
        <v>273</v>
      </c>
      <c r="C70" t="s">
        <v>71</v>
      </c>
      <c r="D70" t="s">
        <v>37</v>
      </c>
      <c r="E70" t="s">
        <v>159</v>
      </c>
      <c r="F70" t="s">
        <v>160</v>
      </c>
      <c r="G70" t="s">
        <v>20</v>
      </c>
      <c r="H70" t="s">
        <v>21</v>
      </c>
      <c r="I70" t="s">
        <v>152</v>
      </c>
      <c r="J70" t="s">
        <v>53</v>
      </c>
      <c r="K70" t="s">
        <v>66</v>
      </c>
      <c r="L70" t="s">
        <v>53</v>
      </c>
      <c r="N70" t="s">
        <v>55</v>
      </c>
      <c r="O70" t="s">
        <v>81</v>
      </c>
    </row>
    <row r="71" spans="1:15" x14ac:dyDescent="0.3">
      <c r="A71">
        <v>1073</v>
      </c>
      <c r="B71" t="s">
        <v>274</v>
      </c>
      <c r="C71" t="s">
        <v>58</v>
      </c>
      <c r="D71" t="s">
        <v>37</v>
      </c>
      <c r="E71" t="s">
        <v>60</v>
      </c>
      <c r="F71" t="s">
        <v>275</v>
      </c>
      <c r="G71" t="s">
        <v>105</v>
      </c>
      <c r="H71" t="s">
        <v>52</v>
      </c>
      <c r="J71" t="s">
        <v>65</v>
      </c>
      <c r="M71" t="s">
        <v>191</v>
      </c>
      <c r="N71" t="s">
        <v>33</v>
      </c>
      <c r="O71" t="s">
        <v>81</v>
      </c>
    </row>
    <row r="72" spans="1:15" x14ac:dyDescent="0.3">
      <c r="A72">
        <v>1085</v>
      </c>
      <c r="B72" t="s">
        <v>276</v>
      </c>
      <c r="C72" t="s">
        <v>277</v>
      </c>
      <c r="D72" t="s">
        <v>109</v>
      </c>
      <c r="E72" t="s">
        <v>159</v>
      </c>
      <c r="F72" t="s">
        <v>278</v>
      </c>
      <c r="G72" t="s">
        <v>279</v>
      </c>
      <c r="H72" t="s">
        <v>280</v>
      </c>
      <c r="I72" t="s">
        <v>29</v>
      </c>
      <c r="J72" t="s">
        <v>30</v>
      </c>
      <c r="K72" t="s">
        <v>30</v>
      </c>
      <c r="L72" t="s">
        <v>30</v>
      </c>
      <c r="M72" t="s">
        <v>44</v>
      </c>
      <c r="O72" t="s">
        <v>76</v>
      </c>
    </row>
    <row r="73" spans="1:15" x14ac:dyDescent="0.3">
      <c r="A73">
        <v>1171</v>
      </c>
      <c r="B73" t="s">
        <v>281</v>
      </c>
      <c r="C73" t="s">
        <v>164</v>
      </c>
      <c r="D73" t="s">
        <v>91</v>
      </c>
      <c r="E73" t="s">
        <v>159</v>
      </c>
      <c r="F73" t="s">
        <v>196</v>
      </c>
      <c r="G73" t="s">
        <v>131</v>
      </c>
      <c r="H73" t="s">
        <v>74</v>
      </c>
      <c r="I73" t="s">
        <v>118</v>
      </c>
      <c r="J73" t="s">
        <v>30</v>
      </c>
      <c r="K73" t="s">
        <v>112</v>
      </c>
      <c r="L73" t="s">
        <v>30</v>
      </c>
      <c r="M73" t="s">
        <v>44</v>
      </c>
      <c r="N73" t="s">
        <v>69</v>
      </c>
      <c r="O73" t="s">
        <v>81</v>
      </c>
    </row>
    <row r="74" spans="1:15" x14ac:dyDescent="0.3">
      <c r="A74">
        <v>1099</v>
      </c>
      <c r="B74" t="s">
        <v>282</v>
      </c>
      <c r="C74" t="s">
        <v>283</v>
      </c>
      <c r="E74" t="s">
        <v>171</v>
      </c>
      <c r="G74" t="s">
        <v>245</v>
      </c>
      <c r="H74" t="s">
        <v>284</v>
      </c>
      <c r="I74" t="s">
        <v>285</v>
      </c>
      <c r="J74" t="s">
        <v>65</v>
      </c>
      <c r="K74" t="s">
        <v>31</v>
      </c>
      <c r="L74" t="s">
        <v>286</v>
      </c>
      <c r="M74" t="s">
        <v>191</v>
      </c>
      <c r="N74" t="s">
        <v>69</v>
      </c>
      <c r="O74" t="s">
        <v>56</v>
      </c>
    </row>
    <row r="75" spans="1:15" x14ac:dyDescent="0.3">
      <c r="A75">
        <v>1038</v>
      </c>
      <c r="B75" t="s">
        <v>287</v>
      </c>
      <c r="C75" t="s">
        <v>78</v>
      </c>
      <c r="E75" t="s">
        <v>18</v>
      </c>
      <c r="G75" t="s">
        <v>182</v>
      </c>
      <c r="H75" t="s">
        <v>214</v>
      </c>
      <c r="I75" t="s">
        <v>118</v>
      </c>
      <c r="J75" t="s">
        <v>43</v>
      </c>
      <c r="K75" t="s">
        <v>66</v>
      </c>
      <c r="L75" t="s">
        <v>43</v>
      </c>
      <c r="M75" t="s">
        <v>142</v>
      </c>
      <c r="N75" t="s">
        <v>133</v>
      </c>
    </row>
    <row r="76" spans="1:15" x14ac:dyDescent="0.3">
      <c r="A76">
        <v>1156</v>
      </c>
      <c r="B76" t="s">
        <v>288</v>
      </c>
      <c r="C76" t="s">
        <v>71</v>
      </c>
      <c r="D76" t="s">
        <v>48</v>
      </c>
      <c r="G76" t="s">
        <v>124</v>
      </c>
      <c r="H76" t="s">
        <v>52</v>
      </c>
      <c r="I76" t="s">
        <v>80</v>
      </c>
      <c r="J76" t="s">
        <v>119</v>
      </c>
      <c r="K76" t="s">
        <v>185</v>
      </c>
      <c r="L76" t="s">
        <v>238</v>
      </c>
      <c r="M76" t="s">
        <v>191</v>
      </c>
      <c r="N76" t="s">
        <v>45</v>
      </c>
      <c r="O76" t="s">
        <v>121</v>
      </c>
    </row>
    <row r="77" spans="1:15" x14ac:dyDescent="0.3">
      <c r="A77">
        <v>1114</v>
      </c>
      <c r="B77" t="s">
        <v>289</v>
      </c>
      <c r="C77" t="s">
        <v>90</v>
      </c>
      <c r="D77" t="s">
        <v>91</v>
      </c>
      <c r="E77" t="s">
        <v>148</v>
      </c>
      <c r="F77" t="s">
        <v>290</v>
      </c>
      <c r="G77" t="s">
        <v>85</v>
      </c>
      <c r="H77" t="s">
        <v>41</v>
      </c>
      <c r="I77" t="s">
        <v>64</v>
      </c>
      <c r="J77" t="s">
        <v>185</v>
      </c>
      <c r="K77" t="s">
        <v>31</v>
      </c>
      <c r="L77" t="s">
        <v>185</v>
      </c>
      <c r="M77" t="s">
        <v>142</v>
      </c>
      <c r="N77" t="s">
        <v>69</v>
      </c>
      <c r="O77" t="s">
        <v>56</v>
      </c>
    </row>
    <row r="78" spans="1:15" x14ac:dyDescent="0.3">
      <c r="A78">
        <v>1106</v>
      </c>
      <c r="B78" t="s">
        <v>291</v>
      </c>
      <c r="C78" t="s">
        <v>292</v>
      </c>
      <c r="D78" t="s">
        <v>91</v>
      </c>
      <c r="E78" t="s">
        <v>103</v>
      </c>
      <c r="F78" t="s">
        <v>293</v>
      </c>
      <c r="G78" t="s">
        <v>279</v>
      </c>
      <c r="H78" t="s">
        <v>294</v>
      </c>
      <c r="I78" t="s">
        <v>99</v>
      </c>
      <c r="K78" t="s">
        <v>53</v>
      </c>
      <c r="M78" t="s">
        <v>75</v>
      </c>
      <c r="N78" t="s">
        <v>55</v>
      </c>
    </row>
    <row r="79" spans="1:15" x14ac:dyDescent="0.3">
      <c r="A79">
        <v>1102</v>
      </c>
      <c r="B79" t="s">
        <v>295</v>
      </c>
      <c r="C79" t="s">
        <v>213</v>
      </c>
      <c r="D79" t="s">
        <v>91</v>
      </c>
      <c r="E79" t="s">
        <v>25</v>
      </c>
      <c r="F79" t="s">
        <v>296</v>
      </c>
      <c r="G79" t="s">
        <v>40</v>
      </c>
      <c r="H79" t="s">
        <v>132</v>
      </c>
      <c r="I79" t="s">
        <v>152</v>
      </c>
      <c r="J79" t="s">
        <v>87</v>
      </c>
      <c r="K79" t="s">
        <v>31</v>
      </c>
      <c r="L79" t="s">
        <v>87</v>
      </c>
      <c r="M79" t="s">
        <v>142</v>
      </c>
      <c r="N79" t="s">
        <v>69</v>
      </c>
      <c r="O79" t="s">
        <v>81</v>
      </c>
    </row>
    <row r="80" spans="1:15" x14ac:dyDescent="0.3">
      <c r="A80">
        <v>1050</v>
      </c>
      <c r="B80" t="s">
        <v>297</v>
      </c>
      <c r="C80" t="s">
        <v>252</v>
      </c>
      <c r="D80" t="s">
        <v>17</v>
      </c>
      <c r="E80" t="s">
        <v>38</v>
      </c>
      <c r="F80" t="s">
        <v>298</v>
      </c>
      <c r="G80" t="s">
        <v>299</v>
      </c>
      <c r="H80" t="s">
        <v>300</v>
      </c>
      <c r="I80" t="s">
        <v>255</v>
      </c>
      <c r="J80" t="s">
        <v>173</v>
      </c>
      <c r="K80" t="s">
        <v>87</v>
      </c>
      <c r="L80" t="s">
        <v>174</v>
      </c>
      <c r="M80" t="s">
        <v>80</v>
      </c>
      <c r="N80" t="s">
        <v>33</v>
      </c>
      <c r="O80" t="s">
        <v>56</v>
      </c>
    </row>
    <row r="81" spans="1:15" x14ac:dyDescent="0.3">
      <c r="A81">
        <v>1105</v>
      </c>
      <c r="B81" t="s">
        <v>301</v>
      </c>
      <c r="C81" t="s">
        <v>213</v>
      </c>
      <c r="D81" t="s">
        <v>167</v>
      </c>
      <c r="E81" t="s">
        <v>159</v>
      </c>
      <c r="F81" t="s">
        <v>302</v>
      </c>
      <c r="G81" t="s">
        <v>141</v>
      </c>
      <c r="H81" t="s">
        <v>52</v>
      </c>
      <c r="I81" t="s">
        <v>94</v>
      </c>
      <c r="J81" t="s">
        <v>207</v>
      </c>
      <c r="K81" t="s">
        <v>87</v>
      </c>
      <c r="L81" t="s">
        <v>303</v>
      </c>
      <c r="M81" t="s">
        <v>142</v>
      </c>
      <c r="N81" t="s">
        <v>55</v>
      </c>
      <c r="O81" t="s">
        <v>81</v>
      </c>
    </row>
    <row r="82" spans="1:15" x14ac:dyDescent="0.3">
      <c r="A82">
        <v>1006</v>
      </c>
      <c r="B82" t="s">
        <v>304</v>
      </c>
      <c r="C82" t="s">
        <v>36</v>
      </c>
      <c r="E82" t="s">
        <v>115</v>
      </c>
      <c r="F82" t="s">
        <v>206</v>
      </c>
      <c r="G82" t="s">
        <v>20</v>
      </c>
      <c r="H82" t="s">
        <v>150</v>
      </c>
      <c r="I82" t="s">
        <v>152</v>
      </c>
      <c r="J82" t="s">
        <v>53</v>
      </c>
      <c r="K82" t="s">
        <v>31</v>
      </c>
      <c r="L82" t="s">
        <v>53</v>
      </c>
      <c r="M82" t="s">
        <v>191</v>
      </c>
      <c r="N82" t="s">
        <v>133</v>
      </c>
      <c r="O82" t="s">
        <v>76</v>
      </c>
    </row>
    <row r="83" spans="1:15" x14ac:dyDescent="0.3">
      <c r="A83">
        <v>1018</v>
      </c>
      <c r="B83" t="s">
        <v>305</v>
      </c>
      <c r="C83" t="s">
        <v>78</v>
      </c>
      <c r="D83" t="s">
        <v>167</v>
      </c>
      <c r="E83" t="s">
        <v>60</v>
      </c>
      <c r="F83" t="s">
        <v>210</v>
      </c>
      <c r="G83" t="s">
        <v>141</v>
      </c>
      <c r="H83" t="s">
        <v>150</v>
      </c>
      <c r="I83" t="s">
        <v>107</v>
      </c>
      <c r="J83" t="s">
        <v>53</v>
      </c>
      <c r="K83" t="s">
        <v>87</v>
      </c>
      <c r="L83" t="s">
        <v>153</v>
      </c>
      <c r="M83" t="s">
        <v>75</v>
      </c>
      <c r="N83" t="s">
        <v>55</v>
      </c>
      <c r="O83" t="s">
        <v>121</v>
      </c>
    </row>
    <row r="84" spans="1:15" x14ac:dyDescent="0.3">
      <c r="A84">
        <v>1123</v>
      </c>
      <c r="B84" t="s">
        <v>306</v>
      </c>
      <c r="C84" t="s">
        <v>147</v>
      </c>
      <c r="D84" t="s">
        <v>37</v>
      </c>
      <c r="E84" t="s">
        <v>159</v>
      </c>
      <c r="F84" t="s">
        <v>160</v>
      </c>
      <c r="G84" t="s">
        <v>182</v>
      </c>
      <c r="H84" t="s">
        <v>150</v>
      </c>
      <c r="I84" t="s">
        <v>94</v>
      </c>
      <c r="K84" t="s">
        <v>43</v>
      </c>
      <c r="M84" t="s">
        <v>88</v>
      </c>
      <c r="N84" t="s">
        <v>133</v>
      </c>
    </row>
    <row r="85" spans="1:15" x14ac:dyDescent="0.3">
      <c r="A85">
        <v>1175</v>
      </c>
      <c r="B85" t="s">
        <v>307</v>
      </c>
      <c r="C85" t="s">
        <v>101</v>
      </c>
      <c r="D85" t="s">
        <v>135</v>
      </c>
      <c r="E85" t="s">
        <v>115</v>
      </c>
      <c r="F85" t="s">
        <v>308</v>
      </c>
      <c r="G85" t="s">
        <v>162</v>
      </c>
      <c r="I85" t="s">
        <v>107</v>
      </c>
      <c r="J85" t="s">
        <v>65</v>
      </c>
      <c r="K85" t="s">
        <v>31</v>
      </c>
      <c r="L85" t="s">
        <v>286</v>
      </c>
      <c r="M85" t="s">
        <v>75</v>
      </c>
      <c r="N85" t="s">
        <v>55</v>
      </c>
      <c r="O85" t="s">
        <v>46</v>
      </c>
    </row>
    <row r="86" spans="1:15" x14ac:dyDescent="0.3">
      <c r="A86">
        <v>1002</v>
      </c>
      <c r="B86" t="s">
        <v>309</v>
      </c>
      <c r="C86" t="s">
        <v>310</v>
      </c>
      <c r="D86" t="s">
        <v>37</v>
      </c>
      <c r="G86" t="s">
        <v>131</v>
      </c>
      <c r="H86" t="s">
        <v>150</v>
      </c>
      <c r="I86" t="s">
        <v>137</v>
      </c>
      <c r="J86" t="s">
        <v>30</v>
      </c>
      <c r="K86" t="s">
        <v>30</v>
      </c>
      <c r="L86" t="s">
        <v>30</v>
      </c>
      <c r="M86" t="s">
        <v>88</v>
      </c>
      <c r="N86" t="s">
        <v>69</v>
      </c>
      <c r="O86" t="s">
        <v>76</v>
      </c>
    </row>
    <row r="87" spans="1:15" x14ac:dyDescent="0.3">
      <c r="A87">
        <v>1107</v>
      </c>
      <c r="B87" t="s">
        <v>311</v>
      </c>
      <c r="C87" t="s">
        <v>312</v>
      </c>
      <c r="D87" t="s">
        <v>59</v>
      </c>
      <c r="E87" t="s">
        <v>18</v>
      </c>
      <c r="F87" t="s">
        <v>313</v>
      </c>
      <c r="G87" t="s">
        <v>20</v>
      </c>
      <c r="H87" t="s">
        <v>214</v>
      </c>
      <c r="I87" t="s">
        <v>64</v>
      </c>
      <c r="J87" t="s">
        <v>173</v>
      </c>
      <c r="M87" t="s">
        <v>32</v>
      </c>
      <c r="N87" t="s">
        <v>133</v>
      </c>
      <c r="O87" t="s">
        <v>34</v>
      </c>
    </row>
    <row r="88" spans="1:15" x14ac:dyDescent="0.3">
      <c r="A88">
        <v>1087</v>
      </c>
      <c r="B88" t="s">
        <v>314</v>
      </c>
      <c r="C88" t="s">
        <v>164</v>
      </c>
      <c r="D88" t="s">
        <v>135</v>
      </c>
      <c r="E88" t="s">
        <v>72</v>
      </c>
      <c r="F88" t="s">
        <v>315</v>
      </c>
      <c r="G88" t="s">
        <v>116</v>
      </c>
      <c r="H88" t="s">
        <v>52</v>
      </c>
      <c r="I88" t="s">
        <v>125</v>
      </c>
      <c r="J88" t="s">
        <v>43</v>
      </c>
      <c r="K88" t="s">
        <v>31</v>
      </c>
      <c r="L88" t="s">
        <v>43</v>
      </c>
      <c r="M88" t="s">
        <v>75</v>
      </c>
      <c r="O88" t="s">
        <v>46</v>
      </c>
    </row>
    <row r="89" spans="1:15" x14ac:dyDescent="0.3">
      <c r="A89">
        <v>1015</v>
      </c>
      <c r="B89" t="s">
        <v>316</v>
      </c>
      <c r="C89" t="s">
        <v>83</v>
      </c>
      <c r="D89" t="s">
        <v>102</v>
      </c>
      <c r="E89" t="s">
        <v>110</v>
      </c>
      <c r="F89" t="s">
        <v>155</v>
      </c>
      <c r="G89" t="s">
        <v>182</v>
      </c>
      <c r="H89" t="s">
        <v>86</v>
      </c>
      <c r="I89" t="s">
        <v>125</v>
      </c>
      <c r="M89" t="s">
        <v>142</v>
      </c>
    </row>
    <row r="90" spans="1:15" x14ac:dyDescent="0.3">
      <c r="A90">
        <v>1065</v>
      </c>
      <c r="B90" t="s">
        <v>317</v>
      </c>
      <c r="C90" t="s">
        <v>164</v>
      </c>
      <c r="D90" t="s">
        <v>17</v>
      </c>
      <c r="E90" t="s">
        <v>171</v>
      </c>
      <c r="F90" t="s">
        <v>318</v>
      </c>
      <c r="G90" t="s">
        <v>156</v>
      </c>
      <c r="H90" t="s">
        <v>41</v>
      </c>
      <c r="I90" t="s">
        <v>22</v>
      </c>
      <c r="J90" t="s">
        <v>65</v>
      </c>
      <c r="K90" t="s">
        <v>87</v>
      </c>
      <c r="L90" t="s">
        <v>319</v>
      </c>
      <c r="M90" t="s">
        <v>75</v>
      </c>
      <c r="N90" t="s">
        <v>133</v>
      </c>
      <c r="O90" t="s">
        <v>56</v>
      </c>
    </row>
    <row r="91" spans="1:15" x14ac:dyDescent="0.3">
      <c r="A91">
        <v>1027</v>
      </c>
      <c r="C91" t="s">
        <v>36</v>
      </c>
      <c r="D91" t="s">
        <v>91</v>
      </c>
      <c r="E91" t="s">
        <v>159</v>
      </c>
      <c r="F91" t="s">
        <v>196</v>
      </c>
      <c r="G91" t="s">
        <v>51</v>
      </c>
      <c r="H91" t="s">
        <v>117</v>
      </c>
      <c r="I91" t="s">
        <v>118</v>
      </c>
      <c r="J91" t="s">
        <v>207</v>
      </c>
      <c r="K91" t="s">
        <v>54</v>
      </c>
      <c r="L91" t="s">
        <v>320</v>
      </c>
      <c r="M91" t="s">
        <v>142</v>
      </c>
      <c r="N91" t="s">
        <v>55</v>
      </c>
      <c r="O91" t="s">
        <v>76</v>
      </c>
    </row>
    <row r="92" spans="1:15" x14ac:dyDescent="0.3">
      <c r="A92">
        <v>1059</v>
      </c>
      <c r="B92" t="s">
        <v>258</v>
      </c>
      <c r="C92" t="s">
        <v>90</v>
      </c>
      <c r="D92" t="s">
        <v>91</v>
      </c>
      <c r="E92" t="s">
        <v>159</v>
      </c>
      <c r="F92" t="s">
        <v>196</v>
      </c>
      <c r="G92" t="s">
        <v>85</v>
      </c>
      <c r="H92" t="s">
        <v>86</v>
      </c>
      <c r="I92" t="s">
        <v>107</v>
      </c>
      <c r="J92" t="s">
        <v>185</v>
      </c>
      <c r="K92" t="s">
        <v>185</v>
      </c>
      <c r="L92" t="s">
        <v>256</v>
      </c>
      <c r="M92" t="s">
        <v>80</v>
      </c>
      <c r="N92" t="s">
        <v>133</v>
      </c>
    </row>
    <row r="93" spans="1:15" x14ac:dyDescent="0.3">
      <c r="A93">
        <v>1042</v>
      </c>
      <c r="B93" t="s">
        <v>321</v>
      </c>
      <c r="C93" t="s">
        <v>90</v>
      </c>
      <c r="D93" t="s">
        <v>17</v>
      </c>
      <c r="E93" t="s">
        <v>38</v>
      </c>
      <c r="F93" t="s">
        <v>298</v>
      </c>
      <c r="G93" t="s">
        <v>131</v>
      </c>
      <c r="H93" t="s">
        <v>21</v>
      </c>
      <c r="I93" t="s">
        <v>125</v>
      </c>
      <c r="J93" t="s">
        <v>207</v>
      </c>
      <c r="K93" t="s">
        <v>54</v>
      </c>
      <c r="L93" t="s">
        <v>320</v>
      </c>
      <c r="M93" t="s">
        <v>88</v>
      </c>
      <c r="N93" t="s">
        <v>133</v>
      </c>
      <c r="O93" t="s">
        <v>81</v>
      </c>
    </row>
    <row r="94" spans="1:15" x14ac:dyDescent="0.3">
      <c r="A94">
        <v>1053</v>
      </c>
      <c r="B94" t="s">
        <v>322</v>
      </c>
      <c r="C94" t="s">
        <v>71</v>
      </c>
      <c r="D94" t="s">
        <v>37</v>
      </c>
      <c r="E94" t="s">
        <v>18</v>
      </c>
      <c r="F94" t="s">
        <v>323</v>
      </c>
      <c r="G94" t="s">
        <v>156</v>
      </c>
      <c r="H94" t="s">
        <v>132</v>
      </c>
      <c r="I94" t="s">
        <v>125</v>
      </c>
      <c r="J94" t="s">
        <v>173</v>
      </c>
      <c r="K94" t="s">
        <v>31</v>
      </c>
      <c r="L94" t="s">
        <v>324</v>
      </c>
      <c r="N94" t="s">
        <v>33</v>
      </c>
      <c r="O94" t="s">
        <v>34</v>
      </c>
    </row>
    <row r="95" spans="1:15" x14ac:dyDescent="0.3">
      <c r="A95">
        <v>1179</v>
      </c>
      <c r="B95" t="s">
        <v>325</v>
      </c>
      <c r="C95" t="s">
        <v>78</v>
      </c>
      <c r="D95" t="s">
        <v>59</v>
      </c>
      <c r="E95" t="s">
        <v>115</v>
      </c>
      <c r="F95" t="s">
        <v>181</v>
      </c>
      <c r="G95" t="s">
        <v>156</v>
      </c>
      <c r="H95" t="s">
        <v>41</v>
      </c>
      <c r="I95" t="s">
        <v>125</v>
      </c>
      <c r="J95" t="s">
        <v>185</v>
      </c>
      <c r="K95" t="s">
        <v>112</v>
      </c>
      <c r="L95" t="s">
        <v>185</v>
      </c>
      <c r="M95" t="s">
        <v>32</v>
      </c>
      <c r="N95" t="s">
        <v>133</v>
      </c>
      <c r="O95" t="s">
        <v>121</v>
      </c>
    </row>
    <row r="96" spans="1:15" x14ac:dyDescent="0.3">
      <c r="A96">
        <v>1082</v>
      </c>
      <c r="B96" t="s">
        <v>326</v>
      </c>
      <c r="C96" t="s">
        <v>170</v>
      </c>
      <c r="D96" t="s">
        <v>17</v>
      </c>
      <c r="E96" t="s">
        <v>171</v>
      </c>
      <c r="F96" t="s">
        <v>318</v>
      </c>
      <c r="G96" t="s">
        <v>20</v>
      </c>
      <c r="H96" t="s">
        <v>63</v>
      </c>
      <c r="I96" t="s">
        <v>152</v>
      </c>
      <c r="J96" t="s">
        <v>87</v>
      </c>
      <c r="K96" t="s">
        <v>66</v>
      </c>
      <c r="L96" t="s">
        <v>87</v>
      </c>
      <c r="M96" t="s">
        <v>80</v>
      </c>
      <c r="N96" t="s">
        <v>69</v>
      </c>
      <c r="O96" t="s">
        <v>81</v>
      </c>
    </row>
    <row r="97" spans="1:15" x14ac:dyDescent="0.3">
      <c r="A97">
        <v>1008</v>
      </c>
      <c r="B97" t="s">
        <v>327</v>
      </c>
      <c r="C97" t="s">
        <v>328</v>
      </c>
      <c r="D97" t="s">
        <v>37</v>
      </c>
      <c r="E97" t="s">
        <v>72</v>
      </c>
      <c r="F97" t="s">
        <v>235</v>
      </c>
      <c r="K97" t="s">
        <v>66</v>
      </c>
      <c r="M97" t="s">
        <v>80</v>
      </c>
      <c r="N97" t="s">
        <v>33</v>
      </c>
      <c r="O97" t="s">
        <v>46</v>
      </c>
    </row>
    <row r="98" spans="1:15" x14ac:dyDescent="0.3">
      <c r="A98">
        <v>1062</v>
      </c>
      <c r="B98" t="s">
        <v>329</v>
      </c>
      <c r="C98" t="s">
        <v>177</v>
      </c>
      <c r="D98" t="s">
        <v>167</v>
      </c>
      <c r="E98" t="s">
        <v>18</v>
      </c>
      <c r="F98" t="s">
        <v>330</v>
      </c>
      <c r="G98" t="s">
        <v>253</v>
      </c>
      <c r="H98" t="s">
        <v>28</v>
      </c>
      <c r="I98" t="s">
        <v>331</v>
      </c>
      <c r="J98" t="s">
        <v>207</v>
      </c>
      <c r="K98" t="s">
        <v>112</v>
      </c>
      <c r="L98" t="s">
        <v>332</v>
      </c>
      <c r="M98" t="s">
        <v>191</v>
      </c>
      <c r="N98" t="s">
        <v>33</v>
      </c>
      <c r="O98" t="s">
        <v>81</v>
      </c>
    </row>
    <row r="99" spans="1:15" x14ac:dyDescent="0.3">
      <c r="A99">
        <v>1180</v>
      </c>
      <c r="B99" t="s">
        <v>333</v>
      </c>
      <c r="C99" t="s">
        <v>213</v>
      </c>
      <c r="D99" t="s">
        <v>37</v>
      </c>
      <c r="E99" t="s">
        <v>115</v>
      </c>
      <c r="F99" t="s">
        <v>334</v>
      </c>
      <c r="G99" t="s">
        <v>51</v>
      </c>
      <c r="H99" t="s">
        <v>150</v>
      </c>
      <c r="I99" t="s">
        <v>107</v>
      </c>
      <c r="J99" t="s">
        <v>189</v>
      </c>
      <c r="K99" t="s">
        <v>53</v>
      </c>
      <c r="L99" t="s">
        <v>335</v>
      </c>
      <c r="M99" t="s">
        <v>75</v>
      </c>
      <c r="O99" t="s">
        <v>56</v>
      </c>
    </row>
    <row r="100" spans="1:15" x14ac:dyDescent="0.3">
      <c r="A100">
        <v>1012</v>
      </c>
      <c r="B100" t="s">
        <v>336</v>
      </c>
      <c r="C100" t="s">
        <v>71</v>
      </c>
      <c r="E100" t="s">
        <v>115</v>
      </c>
      <c r="G100" t="s">
        <v>51</v>
      </c>
      <c r="H100" t="s">
        <v>214</v>
      </c>
      <c r="I100" t="s">
        <v>80</v>
      </c>
      <c r="M100" t="s">
        <v>142</v>
      </c>
      <c r="N100" t="s">
        <v>33</v>
      </c>
      <c r="O100" t="s">
        <v>34</v>
      </c>
    </row>
    <row r="101" spans="1:15" x14ac:dyDescent="0.3">
      <c r="A101">
        <v>1071</v>
      </c>
      <c r="B101" t="s">
        <v>337</v>
      </c>
      <c r="C101" t="s">
        <v>24</v>
      </c>
      <c r="D101" t="s">
        <v>109</v>
      </c>
      <c r="E101" t="s">
        <v>110</v>
      </c>
      <c r="F101" t="s">
        <v>111</v>
      </c>
      <c r="G101" t="s">
        <v>178</v>
      </c>
      <c r="H101" t="s">
        <v>284</v>
      </c>
      <c r="I101" t="s">
        <v>338</v>
      </c>
      <c r="J101" t="s">
        <v>189</v>
      </c>
      <c r="K101" t="s">
        <v>185</v>
      </c>
      <c r="L101" t="s">
        <v>339</v>
      </c>
      <c r="M101" t="s">
        <v>32</v>
      </c>
      <c r="O101" t="s">
        <v>76</v>
      </c>
    </row>
    <row r="102" spans="1:15" x14ac:dyDescent="0.3">
      <c r="A102">
        <v>1019</v>
      </c>
      <c r="B102" t="s">
        <v>175</v>
      </c>
      <c r="C102" t="s">
        <v>90</v>
      </c>
      <c r="D102" t="s">
        <v>59</v>
      </c>
      <c r="E102" t="s">
        <v>115</v>
      </c>
      <c r="F102" t="s">
        <v>181</v>
      </c>
      <c r="G102" t="s">
        <v>156</v>
      </c>
      <c r="H102" t="s">
        <v>86</v>
      </c>
      <c r="I102" t="s">
        <v>80</v>
      </c>
      <c r="J102" t="s">
        <v>119</v>
      </c>
      <c r="M102" t="s">
        <v>88</v>
      </c>
      <c r="N102" t="s">
        <v>69</v>
      </c>
      <c r="O102" t="s">
        <v>76</v>
      </c>
    </row>
    <row r="103" spans="1:15" x14ac:dyDescent="0.3">
      <c r="A103">
        <v>1116</v>
      </c>
      <c r="B103" t="s">
        <v>340</v>
      </c>
      <c r="C103" t="s">
        <v>78</v>
      </c>
      <c r="D103" t="s">
        <v>109</v>
      </c>
      <c r="E103" t="s">
        <v>72</v>
      </c>
      <c r="F103" t="s">
        <v>341</v>
      </c>
      <c r="G103" t="s">
        <v>182</v>
      </c>
      <c r="H103" t="s">
        <v>63</v>
      </c>
      <c r="I103" t="s">
        <v>125</v>
      </c>
      <c r="J103" t="s">
        <v>65</v>
      </c>
      <c r="M103" t="s">
        <v>68</v>
      </c>
      <c r="N103" t="s">
        <v>33</v>
      </c>
    </row>
    <row r="104" spans="1:15" x14ac:dyDescent="0.3">
      <c r="A104">
        <v>1009</v>
      </c>
      <c r="B104" t="s">
        <v>342</v>
      </c>
      <c r="C104" t="s">
        <v>128</v>
      </c>
      <c r="D104" t="s">
        <v>59</v>
      </c>
      <c r="E104" t="s">
        <v>148</v>
      </c>
      <c r="F104" t="s">
        <v>195</v>
      </c>
      <c r="G104" t="s">
        <v>182</v>
      </c>
      <c r="H104" t="s">
        <v>106</v>
      </c>
      <c r="J104" t="s">
        <v>53</v>
      </c>
      <c r="K104" t="s">
        <v>54</v>
      </c>
      <c r="L104" t="s">
        <v>53</v>
      </c>
      <c r="M104" t="s">
        <v>75</v>
      </c>
      <c r="N104" t="s">
        <v>133</v>
      </c>
      <c r="O104" t="s">
        <v>76</v>
      </c>
    </row>
    <row r="105" spans="1:15" x14ac:dyDescent="0.3">
      <c r="A105">
        <v>1132</v>
      </c>
      <c r="B105" t="s">
        <v>343</v>
      </c>
      <c r="C105" t="s">
        <v>271</v>
      </c>
      <c r="D105" t="s">
        <v>37</v>
      </c>
      <c r="E105" t="s">
        <v>25</v>
      </c>
      <c r="F105" t="s">
        <v>344</v>
      </c>
      <c r="G105" t="s">
        <v>62</v>
      </c>
      <c r="H105" t="s">
        <v>150</v>
      </c>
      <c r="I105" t="s">
        <v>64</v>
      </c>
      <c r="J105" t="s">
        <v>87</v>
      </c>
      <c r="K105" t="s">
        <v>185</v>
      </c>
      <c r="L105" t="s">
        <v>345</v>
      </c>
      <c r="N105" t="s">
        <v>33</v>
      </c>
    </row>
    <row r="106" spans="1:15" x14ac:dyDescent="0.3">
      <c r="A106">
        <v>1080</v>
      </c>
      <c r="B106" t="s">
        <v>346</v>
      </c>
      <c r="C106" t="s">
        <v>128</v>
      </c>
      <c r="D106" t="s">
        <v>59</v>
      </c>
      <c r="E106" t="s">
        <v>171</v>
      </c>
      <c r="F106" t="s">
        <v>347</v>
      </c>
      <c r="G106" t="s">
        <v>62</v>
      </c>
      <c r="H106" t="s">
        <v>106</v>
      </c>
      <c r="I106" t="s">
        <v>80</v>
      </c>
      <c r="J106" t="s">
        <v>189</v>
      </c>
      <c r="K106" t="s">
        <v>185</v>
      </c>
      <c r="L106" t="s">
        <v>339</v>
      </c>
      <c r="M106" t="s">
        <v>88</v>
      </c>
      <c r="N106" t="s">
        <v>33</v>
      </c>
    </row>
    <row r="107" spans="1:15" x14ac:dyDescent="0.3">
      <c r="A107">
        <v>1141</v>
      </c>
      <c r="B107" t="s">
        <v>348</v>
      </c>
      <c r="C107" t="s">
        <v>349</v>
      </c>
      <c r="D107" t="s">
        <v>37</v>
      </c>
      <c r="E107" t="s">
        <v>171</v>
      </c>
      <c r="F107" t="s">
        <v>350</v>
      </c>
      <c r="G107" t="s">
        <v>27</v>
      </c>
      <c r="H107" t="s">
        <v>351</v>
      </c>
      <c r="I107" t="s">
        <v>29</v>
      </c>
      <c r="J107" t="s">
        <v>189</v>
      </c>
      <c r="K107" t="s">
        <v>31</v>
      </c>
      <c r="L107" t="s">
        <v>231</v>
      </c>
      <c r="M107" t="s">
        <v>75</v>
      </c>
      <c r="N107" t="s">
        <v>33</v>
      </c>
    </row>
    <row r="108" spans="1:15" x14ac:dyDescent="0.3">
      <c r="A108">
        <v>1134</v>
      </c>
      <c r="B108" t="s">
        <v>352</v>
      </c>
      <c r="C108" t="s">
        <v>353</v>
      </c>
      <c r="D108" t="s">
        <v>48</v>
      </c>
      <c r="E108" t="s">
        <v>159</v>
      </c>
      <c r="F108" t="s">
        <v>229</v>
      </c>
      <c r="G108" t="s">
        <v>354</v>
      </c>
      <c r="H108" t="s">
        <v>203</v>
      </c>
      <c r="I108" t="s">
        <v>355</v>
      </c>
      <c r="J108" t="s">
        <v>43</v>
      </c>
      <c r="K108" t="s">
        <v>54</v>
      </c>
      <c r="L108" t="s">
        <v>43</v>
      </c>
      <c r="M108" t="s">
        <v>191</v>
      </c>
      <c r="N108" t="s">
        <v>55</v>
      </c>
    </row>
    <row r="109" spans="1:15" x14ac:dyDescent="0.3">
      <c r="A109">
        <v>1030</v>
      </c>
      <c r="B109" t="s">
        <v>356</v>
      </c>
      <c r="C109" t="s">
        <v>58</v>
      </c>
      <c r="D109" t="s">
        <v>109</v>
      </c>
      <c r="E109" t="s">
        <v>38</v>
      </c>
      <c r="F109" t="s">
        <v>357</v>
      </c>
      <c r="G109" t="s">
        <v>51</v>
      </c>
      <c r="H109" t="s">
        <v>106</v>
      </c>
      <c r="I109" t="s">
        <v>152</v>
      </c>
      <c r="J109" t="s">
        <v>30</v>
      </c>
      <c r="K109" t="s">
        <v>66</v>
      </c>
      <c r="L109" t="s">
        <v>30</v>
      </c>
      <c r="M109" t="s">
        <v>80</v>
      </c>
      <c r="N109" t="s">
        <v>33</v>
      </c>
      <c r="O109" t="s">
        <v>34</v>
      </c>
    </row>
    <row r="110" spans="1:15" x14ac:dyDescent="0.3">
      <c r="A110">
        <v>1004</v>
      </c>
      <c r="B110" t="s">
        <v>358</v>
      </c>
      <c r="C110" t="s">
        <v>164</v>
      </c>
      <c r="D110" t="s">
        <v>17</v>
      </c>
      <c r="E110" t="s">
        <v>159</v>
      </c>
      <c r="F110" t="s">
        <v>359</v>
      </c>
      <c r="G110" t="s">
        <v>85</v>
      </c>
      <c r="H110" t="s">
        <v>21</v>
      </c>
      <c r="I110" t="s">
        <v>64</v>
      </c>
      <c r="J110" t="s">
        <v>43</v>
      </c>
      <c r="K110" t="s">
        <v>31</v>
      </c>
      <c r="L110" t="s">
        <v>43</v>
      </c>
      <c r="M110" t="s">
        <v>142</v>
      </c>
      <c r="N110" t="s">
        <v>33</v>
      </c>
      <c r="O110" t="s">
        <v>81</v>
      </c>
    </row>
    <row r="111" spans="1:15" x14ac:dyDescent="0.3">
      <c r="A111">
        <v>1040</v>
      </c>
      <c r="B111" t="s">
        <v>360</v>
      </c>
      <c r="C111" t="s">
        <v>128</v>
      </c>
      <c r="D111" t="s">
        <v>109</v>
      </c>
      <c r="E111" t="s">
        <v>25</v>
      </c>
      <c r="F111" t="s">
        <v>361</v>
      </c>
      <c r="H111" t="s">
        <v>86</v>
      </c>
      <c r="I111" t="s">
        <v>152</v>
      </c>
      <c r="J111" t="s">
        <v>189</v>
      </c>
      <c r="K111" t="s">
        <v>31</v>
      </c>
      <c r="L111" t="s">
        <v>231</v>
      </c>
      <c r="M111" t="s">
        <v>75</v>
      </c>
      <c r="N111" t="s">
        <v>133</v>
      </c>
      <c r="O111" t="s">
        <v>76</v>
      </c>
    </row>
    <row r="112" spans="1:15" x14ac:dyDescent="0.3">
      <c r="A112">
        <v>1051</v>
      </c>
      <c r="B112" t="s">
        <v>362</v>
      </c>
      <c r="C112" t="s">
        <v>312</v>
      </c>
      <c r="D112" t="s">
        <v>129</v>
      </c>
      <c r="E112" t="s">
        <v>103</v>
      </c>
      <c r="F112" t="s">
        <v>184</v>
      </c>
      <c r="H112" t="s">
        <v>41</v>
      </c>
      <c r="I112" t="s">
        <v>94</v>
      </c>
      <c r="J112" t="s">
        <v>189</v>
      </c>
      <c r="K112" t="s">
        <v>53</v>
      </c>
      <c r="L112" t="s">
        <v>335</v>
      </c>
      <c r="M112" t="s">
        <v>88</v>
      </c>
      <c r="N112" t="s">
        <v>69</v>
      </c>
      <c r="O112" t="s">
        <v>46</v>
      </c>
    </row>
    <row r="113" spans="1:15" x14ac:dyDescent="0.3">
      <c r="A113">
        <v>1078</v>
      </c>
      <c r="B113" t="s">
        <v>363</v>
      </c>
      <c r="C113" t="s">
        <v>24</v>
      </c>
      <c r="D113" t="s">
        <v>17</v>
      </c>
      <c r="E113" t="s">
        <v>171</v>
      </c>
      <c r="F113" t="s">
        <v>318</v>
      </c>
      <c r="G113" t="s">
        <v>354</v>
      </c>
      <c r="H113" t="s">
        <v>280</v>
      </c>
      <c r="I113" t="s">
        <v>255</v>
      </c>
      <c r="J113" t="s">
        <v>207</v>
      </c>
      <c r="K113" t="s">
        <v>87</v>
      </c>
      <c r="L113" t="s">
        <v>303</v>
      </c>
      <c r="M113" t="s">
        <v>44</v>
      </c>
      <c r="N113" t="s">
        <v>69</v>
      </c>
      <c r="O113" t="s">
        <v>34</v>
      </c>
    </row>
    <row r="114" spans="1:15" x14ac:dyDescent="0.3">
      <c r="A114">
        <v>1170</v>
      </c>
      <c r="B114" t="s">
        <v>364</v>
      </c>
      <c r="C114" t="s">
        <v>310</v>
      </c>
      <c r="D114" t="s">
        <v>109</v>
      </c>
      <c r="E114" t="s">
        <v>38</v>
      </c>
      <c r="F114" t="s">
        <v>357</v>
      </c>
      <c r="G114" t="s">
        <v>85</v>
      </c>
      <c r="H114" t="s">
        <v>52</v>
      </c>
      <c r="I114" t="s">
        <v>118</v>
      </c>
      <c r="J114" t="s">
        <v>43</v>
      </c>
      <c r="K114" t="s">
        <v>30</v>
      </c>
      <c r="L114" t="s">
        <v>43</v>
      </c>
      <c r="M114" t="s">
        <v>88</v>
      </c>
      <c r="N114" t="s">
        <v>133</v>
      </c>
      <c r="O114" t="s">
        <v>56</v>
      </c>
    </row>
    <row r="115" spans="1:15" x14ac:dyDescent="0.3">
      <c r="A115">
        <v>1112</v>
      </c>
      <c r="B115" t="s">
        <v>365</v>
      </c>
      <c r="C115" t="s">
        <v>83</v>
      </c>
      <c r="D115" t="s">
        <v>59</v>
      </c>
      <c r="E115" t="s">
        <v>148</v>
      </c>
      <c r="F115" t="s">
        <v>195</v>
      </c>
      <c r="G115" t="s">
        <v>62</v>
      </c>
      <c r="H115" t="s">
        <v>117</v>
      </c>
      <c r="I115" t="s">
        <v>137</v>
      </c>
      <c r="M115" t="s">
        <v>80</v>
      </c>
      <c r="N115" t="s">
        <v>55</v>
      </c>
      <c r="O115" t="s">
        <v>145</v>
      </c>
    </row>
    <row r="116" spans="1:15" x14ac:dyDescent="0.3">
      <c r="A116">
        <v>1165</v>
      </c>
      <c r="B116" t="s">
        <v>366</v>
      </c>
      <c r="C116" t="s">
        <v>36</v>
      </c>
      <c r="D116" t="s">
        <v>37</v>
      </c>
      <c r="E116" t="s">
        <v>49</v>
      </c>
      <c r="F116" t="s">
        <v>237</v>
      </c>
      <c r="G116" t="s">
        <v>182</v>
      </c>
      <c r="H116" t="s">
        <v>93</v>
      </c>
      <c r="I116" t="s">
        <v>125</v>
      </c>
      <c r="J116" t="s">
        <v>65</v>
      </c>
      <c r="K116" t="s">
        <v>43</v>
      </c>
      <c r="L116" t="s">
        <v>176</v>
      </c>
      <c r="M116" t="s">
        <v>191</v>
      </c>
      <c r="N116" t="s">
        <v>69</v>
      </c>
      <c r="O116" t="s">
        <v>76</v>
      </c>
    </row>
    <row r="117" spans="1:15" x14ac:dyDescent="0.3">
      <c r="A117">
        <v>1055</v>
      </c>
      <c r="B117" t="s">
        <v>367</v>
      </c>
      <c r="C117" t="s">
        <v>78</v>
      </c>
      <c r="D117" t="s">
        <v>91</v>
      </c>
      <c r="E117" t="s">
        <v>72</v>
      </c>
      <c r="F117" t="s">
        <v>92</v>
      </c>
      <c r="G117" t="s">
        <v>51</v>
      </c>
      <c r="H117" t="s">
        <v>93</v>
      </c>
      <c r="I117" t="s">
        <v>94</v>
      </c>
      <c r="J117" t="s">
        <v>87</v>
      </c>
      <c r="K117" t="s">
        <v>185</v>
      </c>
      <c r="L117" t="s">
        <v>345</v>
      </c>
      <c r="O117" t="s">
        <v>121</v>
      </c>
    </row>
    <row r="118" spans="1:15" x14ac:dyDescent="0.3">
      <c r="A118">
        <v>1091</v>
      </c>
      <c r="B118" t="s">
        <v>368</v>
      </c>
      <c r="C118" t="s">
        <v>90</v>
      </c>
      <c r="E118" t="s">
        <v>60</v>
      </c>
      <c r="H118" t="s">
        <v>63</v>
      </c>
      <c r="I118" t="s">
        <v>80</v>
      </c>
      <c r="J118" t="s">
        <v>189</v>
      </c>
      <c r="K118" t="s">
        <v>54</v>
      </c>
      <c r="L118" t="s">
        <v>369</v>
      </c>
      <c r="M118" t="s">
        <v>142</v>
      </c>
      <c r="N118" t="s">
        <v>33</v>
      </c>
    </row>
    <row r="119" spans="1:15" x14ac:dyDescent="0.3">
      <c r="A119">
        <v>1169</v>
      </c>
      <c r="B119" t="s">
        <v>370</v>
      </c>
      <c r="C119" t="s">
        <v>328</v>
      </c>
      <c r="D119" t="s">
        <v>135</v>
      </c>
      <c r="E119" t="s">
        <v>159</v>
      </c>
      <c r="F119" t="s">
        <v>371</v>
      </c>
      <c r="G119" t="s">
        <v>178</v>
      </c>
      <c r="H119" t="s">
        <v>351</v>
      </c>
      <c r="I119" t="s">
        <v>355</v>
      </c>
      <c r="J119" t="s">
        <v>185</v>
      </c>
      <c r="K119" t="s">
        <v>30</v>
      </c>
      <c r="L119" t="s">
        <v>185</v>
      </c>
      <c r="M119" t="s">
        <v>32</v>
      </c>
      <c r="N119" t="s">
        <v>33</v>
      </c>
      <c r="O119" t="s">
        <v>121</v>
      </c>
    </row>
    <row r="120" spans="1:15" x14ac:dyDescent="0.3">
      <c r="A120">
        <v>1044</v>
      </c>
      <c r="B120" t="s">
        <v>372</v>
      </c>
      <c r="C120" t="s">
        <v>16</v>
      </c>
      <c r="D120" t="s">
        <v>17</v>
      </c>
      <c r="E120" t="s">
        <v>18</v>
      </c>
      <c r="F120" t="s">
        <v>19</v>
      </c>
      <c r="G120" t="s">
        <v>156</v>
      </c>
      <c r="H120" t="s">
        <v>63</v>
      </c>
      <c r="J120" t="s">
        <v>65</v>
      </c>
      <c r="K120" t="s">
        <v>53</v>
      </c>
      <c r="L120" t="s">
        <v>373</v>
      </c>
      <c r="N120" t="s">
        <v>133</v>
      </c>
      <c r="O120" t="s">
        <v>34</v>
      </c>
    </row>
    <row r="121" spans="1:15" x14ac:dyDescent="0.3">
      <c r="A121">
        <v>1148</v>
      </c>
      <c r="B121" t="s">
        <v>374</v>
      </c>
      <c r="C121" t="s">
        <v>328</v>
      </c>
      <c r="D121" t="s">
        <v>17</v>
      </c>
      <c r="G121" t="s">
        <v>253</v>
      </c>
      <c r="H121" t="s">
        <v>375</v>
      </c>
      <c r="I121" t="s">
        <v>29</v>
      </c>
      <c r="J121" t="s">
        <v>173</v>
      </c>
      <c r="K121" t="s">
        <v>87</v>
      </c>
      <c r="L121" t="s">
        <v>174</v>
      </c>
      <c r="M121" t="s">
        <v>88</v>
      </c>
      <c r="N121" t="s">
        <v>33</v>
      </c>
      <c r="O121" t="s">
        <v>81</v>
      </c>
    </row>
    <row r="122" spans="1:15" x14ac:dyDescent="0.3">
      <c r="A122">
        <v>1027</v>
      </c>
      <c r="B122" t="s">
        <v>376</v>
      </c>
      <c r="C122" t="s">
        <v>128</v>
      </c>
      <c r="D122" t="s">
        <v>135</v>
      </c>
      <c r="E122" t="s">
        <v>148</v>
      </c>
      <c r="F122" t="s">
        <v>377</v>
      </c>
      <c r="H122" t="s">
        <v>150</v>
      </c>
      <c r="I122" t="s">
        <v>80</v>
      </c>
      <c r="J122" t="s">
        <v>65</v>
      </c>
      <c r="K122" t="s">
        <v>43</v>
      </c>
      <c r="L122" t="s">
        <v>176</v>
      </c>
      <c r="N122" t="s">
        <v>69</v>
      </c>
    </row>
    <row r="123" spans="1:15" x14ac:dyDescent="0.3">
      <c r="A123">
        <v>1158</v>
      </c>
      <c r="B123" t="s">
        <v>378</v>
      </c>
      <c r="C123" t="s">
        <v>158</v>
      </c>
      <c r="D123" t="s">
        <v>17</v>
      </c>
      <c r="E123" t="s">
        <v>148</v>
      </c>
      <c r="F123" t="s">
        <v>149</v>
      </c>
      <c r="G123" t="s">
        <v>62</v>
      </c>
      <c r="H123" t="s">
        <v>132</v>
      </c>
      <c r="I123" t="s">
        <v>137</v>
      </c>
      <c r="J123" t="s">
        <v>53</v>
      </c>
      <c r="K123" t="s">
        <v>112</v>
      </c>
      <c r="L123" t="s">
        <v>53</v>
      </c>
      <c r="M123" t="s">
        <v>88</v>
      </c>
      <c r="N123" t="s">
        <v>45</v>
      </c>
      <c r="O123" t="s">
        <v>34</v>
      </c>
    </row>
    <row r="124" spans="1:15" x14ac:dyDescent="0.3">
      <c r="A124">
        <v>1060</v>
      </c>
      <c r="B124" t="s">
        <v>379</v>
      </c>
      <c r="C124" t="s">
        <v>90</v>
      </c>
      <c r="D124" t="s">
        <v>129</v>
      </c>
      <c r="E124" t="s">
        <v>110</v>
      </c>
      <c r="F124" t="s">
        <v>380</v>
      </c>
      <c r="G124" t="s">
        <v>182</v>
      </c>
      <c r="H124" t="s">
        <v>106</v>
      </c>
      <c r="I124" t="s">
        <v>118</v>
      </c>
      <c r="J124" t="s">
        <v>185</v>
      </c>
      <c r="K124" t="s">
        <v>87</v>
      </c>
      <c r="L124" t="s">
        <v>345</v>
      </c>
      <c r="M124" t="s">
        <v>68</v>
      </c>
      <c r="N124" t="s">
        <v>133</v>
      </c>
      <c r="O124" t="s">
        <v>145</v>
      </c>
    </row>
    <row r="125" spans="1:15" x14ac:dyDescent="0.3">
      <c r="A125">
        <v>1016</v>
      </c>
      <c r="B125" t="s">
        <v>381</v>
      </c>
      <c r="C125" t="s">
        <v>271</v>
      </c>
      <c r="D125" t="s">
        <v>109</v>
      </c>
      <c r="E125" t="s">
        <v>110</v>
      </c>
      <c r="F125" t="s">
        <v>111</v>
      </c>
      <c r="G125" t="s">
        <v>124</v>
      </c>
      <c r="H125" t="s">
        <v>63</v>
      </c>
      <c r="J125" t="s">
        <v>185</v>
      </c>
      <c r="K125" t="s">
        <v>54</v>
      </c>
      <c r="L125" t="s">
        <v>185</v>
      </c>
      <c r="M125" t="s">
        <v>68</v>
      </c>
      <c r="N125" t="s">
        <v>45</v>
      </c>
      <c r="O125" t="s">
        <v>145</v>
      </c>
    </row>
    <row r="126" spans="1:15" x14ac:dyDescent="0.3">
      <c r="A126">
        <v>1054</v>
      </c>
      <c r="B126" t="s">
        <v>382</v>
      </c>
      <c r="C126" t="s">
        <v>16</v>
      </c>
      <c r="D126" t="s">
        <v>109</v>
      </c>
      <c r="G126" t="s">
        <v>124</v>
      </c>
      <c r="H126" t="s">
        <v>41</v>
      </c>
      <c r="I126" t="s">
        <v>118</v>
      </c>
      <c r="J126" t="s">
        <v>185</v>
      </c>
      <c r="K126" t="s">
        <v>31</v>
      </c>
      <c r="L126" t="s">
        <v>185</v>
      </c>
      <c r="M126" t="s">
        <v>142</v>
      </c>
      <c r="N126" t="s">
        <v>69</v>
      </c>
      <c r="O126" t="s">
        <v>34</v>
      </c>
    </row>
    <row r="127" spans="1:15" x14ac:dyDescent="0.3">
      <c r="A127">
        <v>1021</v>
      </c>
      <c r="B127" t="s">
        <v>383</v>
      </c>
      <c r="C127" t="s">
        <v>36</v>
      </c>
      <c r="D127" t="s">
        <v>59</v>
      </c>
      <c r="E127" t="s">
        <v>38</v>
      </c>
      <c r="F127" t="s">
        <v>222</v>
      </c>
      <c r="G127" t="s">
        <v>144</v>
      </c>
      <c r="H127" t="s">
        <v>52</v>
      </c>
      <c r="I127" t="s">
        <v>118</v>
      </c>
      <c r="J127" t="s">
        <v>119</v>
      </c>
      <c r="K127" t="s">
        <v>43</v>
      </c>
      <c r="L127" t="s">
        <v>384</v>
      </c>
      <c r="M127" t="s">
        <v>68</v>
      </c>
      <c r="N127" t="s">
        <v>69</v>
      </c>
      <c r="O127" t="s">
        <v>56</v>
      </c>
    </row>
    <row r="128" spans="1:15" x14ac:dyDescent="0.3">
      <c r="A128">
        <v>1125</v>
      </c>
      <c r="B128" t="s">
        <v>385</v>
      </c>
      <c r="C128" t="s">
        <v>213</v>
      </c>
      <c r="D128" t="s">
        <v>91</v>
      </c>
      <c r="E128" t="s">
        <v>171</v>
      </c>
      <c r="F128" t="s">
        <v>172</v>
      </c>
      <c r="H128" t="s">
        <v>63</v>
      </c>
      <c r="I128" t="s">
        <v>125</v>
      </c>
      <c r="K128" t="s">
        <v>53</v>
      </c>
      <c r="M128" t="s">
        <v>88</v>
      </c>
      <c r="N128" t="s">
        <v>33</v>
      </c>
      <c r="O128" t="s">
        <v>46</v>
      </c>
    </row>
    <row r="129" spans="1:15" x14ac:dyDescent="0.3">
      <c r="A129">
        <v>1015</v>
      </c>
      <c r="B129" t="s">
        <v>386</v>
      </c>
      <c r="C129" t="s">
        <v>387</v>
      </c>
      <c r="D129" t="s">
        <v>167</v>
      </c>
      <c r="E129" t="s">
        <v>60</v>
      </c>
      <c r="F129" t="s">
        <v>210</v>
      </c>
      <c r="G129" t="s">
        <v>268</v>
      </c>
      <c r="H129" t="s">
        <v>98</v>
      </c>
      <c r="I129" t="s">
        <v>331</v>
      </c>
      <c r="J129" t="s">
        <v>185</v>
      </c>
      <c r="M129" t="s">
        <v>142</v>
      </c>
      <c r="N129" t="s">
        <v>55</v>
      </c>
      <c r="O129" t="s">
        <v>34</v>
      </c>
    </row>
    <row r="130" spans="1:15" x14ac:dyDescent="0.3">
      <c r="A130">
        <v>1014</v>
      </c>
      <c r="B130" t="s">
        <v>388</v>
      </c>
      <c r="C130" t="s">
        <v>170</v>
      </c>
      <c r="D130" t="s">
        <v>91</v>
      </c>
      <c r="E130" t="s">
        <v>72</v>
      </c>
      <c r="F130" t="s">
        <v>92</v>
      </c>
      <c r="G130" t="s">
        <v>51</v>
      </c>
      <c r="H130" t="s">
        <v>21</v>
      </c>
      <c r="I130" t="s">
        <v>22</v>
      </c>
      <c r="J130" t="s">
        <v>185</v>
      </c>
      <c r="K130" t="s">
        <v>66</v>
      </c>
      <c r="L130" t="s">
        <v>185</v>
      </c>
      <c r="M130" t="s">
        <v>80</v>
      </c>
      <c r="N130" t="s">
        <v>33</v>
      </c>
    </row>
    <row r="131" spans="1:15" x14ac:dyDescent="0.3">
      <c r="A131">
        <v>1012</v>
      </c>
      <c r="C131" t="s">
        <v>71</v>
      </c>
      <c r="D131" t="s">
        <v>135</v>
      </c>
      <c r="E131" t="s">
        <v>110</v>
      </c>
      <c r="F131" t="s">
        <v>389</v>
      </c>
      <c r="G131" t="s">
        <v>85</v>
      </c>
      <c r="H131" t="s">
        <v>132</v>
      </c>
      <c r="I131" t="s">
        <v>94</v>
      </c>
      <c r="J131" t="s">
        <v>189</v>
      </c>
      <c r="K131" t="s">
        <v>112</v>
      </c>
      <c r="L131" t="s">
        <v>390</v>
      </c>
      <c r="M131" t="s">
        <v>68</v>
      </c>
      <c r="N131" t="s">
        <v>69</v>
      </c>
      <c r="O131" t="s">
        <v>121</v>
      </c>
    </row>
    <row r="132" spans="1:15" x14ac:dyDescent="0.3">
      <c r="A132">
        <v>1077</v>
      </c>
      <c r="B132" t="s">
        <v>391</v>
      </c>
      <c r="C132" t="s">
        <v>114</v>
      </c>
      <c r="D132" t="s">
        <v>129</v>
      </c>
      <c r="E132" t="s">
        <v>115</v>
      </c>
      <c r="F132" t="s">
        <v>392</v>
      </c>
      <c r="G132" t="s">
        <v>40</v>
      </c>
      <c r="H132" t="s">
        <v>86</v>
      </c>
      <c r="I132" t="s">
        <v>64</v>
      </c>
      <c r="K132" t="s">
        <v>87</v>
      </c>
      <c r="M132" t="s">
        <v>32</v>
      </c>
      <c r="N132" t="s">
        <v>33</v>
      </c>
      <c r="O132" t="s">
        <v>34</v>
      </c>
    </row>
    <row r="133" spans="1:15" x14ac:dyDescent="0.3">
      <c r="A133">
        <v>1108</v>
      </c>
      <c r="B133" t="s">
        <v>393</v>
      </c>
      <c r="C133" t="s">
        <v>114</v>
      </c>
      <c r="D133" t="s">
        <v>17</v>
      </c>
      <c r="E133" t="s">
        <v>60</v>
      </c>
      <c r="F133" t="s">
        <v>394</v>
      </c>
      <c r="G133" t="s">
        <v>51</v>
      </c>
      <c r="H133" t="s">
        <v>117</v>
      </c>
      <c r="I133" t="s">
        <v>137</v>
      </c>
      <c r="J133" t="s">
        <v>173</v>
      </c>
      <c r="K133" t="s">
        <v>30</v>
      </c>
      <c r="L133" t="s">
        <v>395</v>
      </c>
      <c r="M133" t="s">
        <v>75</v>
      </c>
      <c r="O133" t="s">
        <v>145</v>
      </c>
    </row>
    <row r="134" spans="1:15" x14ac:dyDescent="0.3">
      <c r="A134">
        <v>1163</v>
      </c>
      <c r="B134" t="s">
        <v>396</v>
      </c>
      <c r="C134" t="s">
        <v>114</v>
      </c>
      <c r="E134" t="s">
        <v>18</v>
      </c>
      <c r="G134" t="s">
        <v>144</v>
      </c>
      <c r="H134" t="s">
        <v>132</v>
      </c>
      <c r="I134" t="s">
        <v>94</v>
      </c>
      <c r="J134" t="s">
        <v>185</v>
      </c>
      <c r="K134" t="s">
        <v>185</v>
      </c>
      <c r="L134" t="s">
        <v>256</v>
      </c>
      <c r="M134" t="s">
        <v>32</v>
      </c>
      <c r="N134" t="s">
        <v>69</v>
      </c>
      <c r="O134" t="s">
        <v>46</v>
      </c>
    </row>
    <row r="135" spans="1:15" x14ac:dyDescent="0.3">
      <c r="A135">
        <v>1013</v>
      </c>
      <c r="B135" t="s">
        <v>397</v>
      </c>
      <c r="C135" t="s">
        <v>78</v>
      </c>
      <c r="D135" t="s">
        <v>91</v>
      </c>
      <c r="E135" t="s">
        <v>148</v>
      </c>
      <c r="F135" t="s">
        <v>290</v>
      </c>
      <c r="G135" t="s">
        <v>141</v>
      </c>
      <c r="H135" t="s">
        <v>214</v>
      </c>
      <c r="I135" t="s">
        <v>94</v>
      </c>
      <c r="J135" t="s">
        <v>173</v>
      </c>
      <c r="K135" t="s">
        <v>43</v>
      </c>
      <c r="L135" t="s">
        <v>233</v>
      </c>
      <c r="M135" t="s">
        <v>191</v>
      </c>
      <c r="N135" t="s">
        <v>33</v>
      </c>
      <c r="O135" t="s">
        <v>76</v>
      </c>
    </row>
    <row r="136" spans="1:15" x14ac:dyDescent="0.3">
      <c r="A136">
        <v>1017</v>
      </c>
      <c r="B136" t="s">
        <v>398</v>
      </c>
      <c r="C136" t="s">
        <v>164</v>
      </c>
      <c r="D136" t="s">
        <v>135</v>
      </c>
      <c r="G136" t="s">
        <v>156</v>
      </c>
      <c r="H136" t="s">
        <v>63</v>
      </c>
      <c r="I136" t="s">
        <v>64</v>
      </c>
      <c r="J136" t="s">
        <v>189</v>
      </c>
      <c r="K136" t="s">
        <v>112</v>
      </c>
      <c r="L136" t="s">
        <v>390</v>
      </c>
      <c r="M136" t="s">
        <v>68</v>
      </c>
      <c r="N136" t="s">
        <v>55</v>
      </c>
      <c r="O136" t="s">
        <v>46</v>
      </c>
    </row>
    <row r="137" spans="1:15" x14ac:dyDescent="0.3">
      <c r="A137">
        <v>1048</v>
      </c>
      <c r="B137" t="s">
        <v>399</v>
      </c>
      <c r="C137" t="s">
        <v>123</v>
      </c>
      <c r="D137" t="s">
        <v>37</v>
      </c>
      <c r="E137" t="s">
        <v>25</v>
      </c>
      <c r="F137" t="s">
        <v>344</v>
      </c>
      <c r="G137" t="s">
        <v>141</v>
      </c>
      <c r="H137" t="s">
        <v>117</v>
      </c>
      <c r="I137" t="s">
        <v>64</v>
      </c>
      <c r="J137" t="s">
        <v>87</v>
      </c>
      <c r="M137" t="s">
        <v>142</v>
      </c>
      <c r="O137" t="s">
        <v>81</v>
      </c>
    </row>
    <row r="138" spans="1:15" x14ac:dyDescent="0.3">
      <c r="A138">
        <v>1151</v>
      </c>
      <c r="B138" t="s">
        <v>400</v>
      </c>
      <c r="D138" t="s">
        <v>17</v>
      </c>
      <c r="H138" t="s">
        <v>93</v>
      </c>
      <c r="I138" t="s">
        <v>42</v>
      </c>
      <c r="J138" t="s">
        <v>53</v>
      </c>
      <c r="K138" t="s">
        <v>112</v>
      </c>
      <c r="L138" t="s">
        <v>53</v>
      </c>
      <c r="M138" t="s">
        <v>142</v>
      </c>
      <c r="N138" t="s">
        <v>55</v>
      </c>
      <c r="O138" t="s">
        <v>81</v>
      </c>
    </row>
    <row r="139" spans="1:15" x14ac:dyDescent="0.3">
      <c r="A139">
        <v>1120</v>
      </c>
      <c r="B139" t="s">
        <v>401</v>
      </c>
      <c r="C139" t="s">
        <v>96</v>
      </c>
      <c r="D139" t="s">
        <v>17</v>
      </c>
      <c r="E139" t="s">
        <v>103</v>
      </c>
      <c r="F139" t="s">
        <v>402</v>
      </c>
      <c r="G139" t="s">
        <v>403</v>
      </c>
      <c r="H139" t="s">
        <v>203</v>
      </c>
      <c r="I139" t="s">
        <v>204</v>
      </c>
      <c r="J139" t="s">
        <v>53</v>
      </c>
      <c r="K139" t="s">
        <v>30</v>
      </c>
      <c r="L139" t="s">
        <v>53</v>
      </c>
      <c r="N139" t="s">
        <v>55</v>
      </c>
      <c r="O139" t="s">
        <v>121</v>
      </c>
    </row>
    <row r="140" spans="1:15" x14ac:dyDescent="0.3">
      <c r="A140">
        <v>1022</v>
      </c>
      <c r="B140" t="s">
        <v>404</v>
      </c>
      <c r="C140" t="s">
        <v>292</v>
      </c>
      <c r="D140" t="s">
        <v>59</v>
      </c>
      <c r="G140" t="s">
        <v>27</v>
      </c>
      <c r="H140" t="s">
        <v>351</v>
      </c>
      <c r="I140" t="s">
        <v>269</v>
      </c>
      <c r="J140" t="s">
        <v>207</v>
      </c>
      <c r="M140" t="s">
        <v>80</v>
      </c>
      <c r="N140" t="s">
        <v>55</v>
      </c>
      <c r="O140" t="s">
        <v>34</v>
      </c>
    </row>
    <row r="141" spans="1:15" x14ac:dyDescent="0.3">
      <c r="A141">
        <v>1011</v>
      </c>
      <c r="B141" t="s">
        <v>405</v>
      </c>
      <c r="C141" t="s">
        <v>78</v>
      </c>
      <c r="D141" t="s">
        <v>37</v>
      </c>
      <c r="E141" t="s">
        <v>159</v>
      </c>
      <c r="F141" t="s">
        <v>160</v>
      </c>
      <c r="G141" t="s">
        <v>144</v>
      </c>
      <c r="H141" t="s">
        <v>52</v>
      </c>
      <c r="I141" t="s">
        <v>107</v>
      </c>
      <c r="J141" t="s">
        <v>43</v>
      </c>
      <c r="K141" t="s">
        <v>53</v>
      </c>
      <c r="L141" t="s">
        <v>241</v>
      </c>
      <c r="M141" t="s">
        <v>75</v>
      </c>
      <c r="N141" t="s">
        <v>33</v>
      </c>
      <c r="O141" t="s">
        <v>145</v>
      </c>
    </row>
    <row r="142" spans="1:15" x14ac:dyDescent="0.3">
      <c r="A142">
        <v>1131</v>
      </c>
      <c r="B142" t="s">
        <v>406</v>
      </c>
      <c r="C142" t="s">
        <v>123</v>
      </c>
      <c r="D142" t="s">
        <v>17</v>
      </c>
      <c r="E142" t="s">
        <v>110</v>
      </c>
      <c r="F142" t="s">
        <v>272</v>
      </c>
      <c r="G142" t="s">
        <v>85</v>
      </c>
      <c r="I142" t="s">
        <v>42</v>
      </c>
      <c r="J142" t="s">
        <v>30</v>
      </c>
      <c r="M142" t="s">
        <v>142</v>
      </c>
      <c r="N142" t="s">
        <v>33</v>
      </c>
      <c r="O142" t="s">
        <v>76</v>
      </c>
    </row>
    <row r="143" spans="1:15" x14ac:dyDescent="0.3">
      <c r="A143">
        <v>1008</v>
      </c>
      <c r="B143" t="s">
        <v>407</v>
      </c>
      <c r="C143" t="s">
        <v>170</v>
      </c>
      <c r="D143" t="s">
        <v>135</v>
      </c>
      <c r="E143" t="s">
        <v>38</v>
      </c>
      <c r="F143" t="s">
        <v>136</v>
      </c>
      <c r="G143" t="s">
        <v>105</v>
      </c>
      <c r="H143" t="s">
        <v>52</v>
      </c>
      <c r="I143" t="s">
        <v>22</v>
      </c>
      <c r="J143" t="s">
        <v>43</v>
      </c>
      <c r="K143" t="s">
        <v>54</v>
      </c>
      <c r="L143" t="s">
        <v>43</v>
      </c>
      <c r="M143" t="s">
        <v>80</v>
      </c>
      <c r="N143" t="s">
        <v>33</v>
      </c>
      <c r="O143" t="s">
        <v>56</v>
      </c>
    </row>
    <row r="144" spans="1:15" x14ac:dyDescent="0.3">
      <c r="A144">
        <v>1074</v>
      </c>
      <c r="C144" t="s">
        <v>36</v>
      </c>
      <c r="D144" t="s">
        <v>109</v>
      </c>
      <c r="E144" t="s">
        <v>115</v>
      </c>
      <c r="F144" t="s">
        <v>408</v>
      </c>
      <c r="G144" t="s">
        <v>141</v>
      </c>
      <c r="H144" t="s">
        <v>41</v>
      </c>
      <c r="I144" t="s">
        <v>152</v>
      </c>
      <c r="J144" t="s">
        <v>65</v>
      </c>
      <c r="K144" t="s">
        <v>54</v>
      </c>
      <c r="L144" t="s">
        <v>199</v>
      </c>
      <c r="M144" t="s">
        <v>75</v>
      </c>
      <c r="N144" t="s">
        <v>133</v>
      </c>
      <c r="O144" t="s">
        <v>145</v>
      </c>
    </row>
    <row r="145" spans="1:15" x14ac:dyDescent="0.3">
      <c r="A145">
        <v>1031</v>
      </c>
      <c r="B145" t="s">
        <v>409</v>
      </c>
      <c r="C145" t="s">
        <v>312</v>
      </c>
      <c r="D145" t="s">
        <v>102</v>
      </c>
      <c r="E145" t="s">
        <v>171</v>
      </c>
      <c r="F145" t="s">
        <v>347</v>
      </c>
      <c r="G145" t="s">
        <v>62</v>
      </c>
      <c r="H145" t="s">
        <v>41</v>
      </c>
      <c r="I145" t="s">
        <v>42</v>
      </c>
      <c r="J145" t="s">
        <v>87</v>
      </c>
      <c r="K145" t="s">
        <v>31</v>
      </c>
      <c r="L145" t="s">
        <v>87</v>
      </c>
      <c r="N145" t="s">
        <v>45</v>
      </c>
      <c r="O145" t="s">
        <v>145</v>
      </c>
    </row>
    <row r="146" spans="1:15" x14ac:dyDescent="0.3">
      <c r="A146">
        <v>1009</v>
      </c>
      <c r="B146" t="s">
        <v>410</v>
      </c>
      <c r="C146" t="s">
        <v>71</v>
      </c>
      <c r="D146" t="s">
        <v>91</v>
      </c>
      <c r="E146" t="s">
        <v>115</v>
      </c>
      <c r="F146" t="s">
        <v>411</v>
      </c>
      <c r="G146" t="s">
        <v>162</v>
      </c>
      <c r="H146" t="s">
        <v>106</v>
      </c>
      <c r="J146" t="s">
        <v>65</v>
      </c>
      <c r="K146" t="s">
        <v>66</v>
      </c>
      <c r="L146" t="s">
        <v>67</v>
      </c>
      <c r="M146" t="s">
        <v>75</v>
      </c>
      <c r="N146" t="s">
        <v>69</v>
      </c>
      <c r="O146" t="s">
        <v>34</v>
      </c>
    </row>
    <row r="147" spans="1:15" x14ac:dyDescent="0.3">
      <c r="A147">
        <v>1034</v>
      </c>
      <c r="B147" t="s">
        <v>412</v>
      </c>
      <c r="E147" t="s">
        <v>72</v>
      </c>
      <c r="G147" t="s">
        <v>144</v>
      </c>
      <c r="H147" t="s">
        <v>150</v>
      </c>
      <c r="I147" t="s">
        <v>107</v>
      </c>
      <c r="J147" t="s">
        <v>185</v>
      </c>
      <c r="K147" t="s">
        <v>112</v>
      </c>
      <c r="L147" t="s">
        <v>185</v>
      </c>
      <c r="N147" t="s">
        <v>33</v>
      </c>
      <c r="O147" t="s">
        <v>46</v>
      </c>
    </row>
    <row r="148" spans="1:15" x14ac:dyDescent="0.3">
      <c r="A148">
        <v>1149</v>
      </c>
      <c r="B148" t="s">
        <v>413</v>
      </c>
      <c r="D148" t="s">
        <v>17</v>
      </c>
      <c r="E148" t="s">
        <v>72</v>
      </c>
      <c r="F148" t="s">
        <v>79</v>
      </c>
      <c r="G148" t="s">
        <v>141</v>
      </c>
      <c r="H148" t="s">
        <v>63</v>
      </c>
      <c r="I148" t="s">
        <v>118</v>
      </c>
      <c r="J148" t="s">
        <v>173</v>
      </c>
      <c r="K148" t="s">
        <v>87</v>
      </c>
      <c r="L148" t="s">
        <v>174</v>
      </c>
      <c r="M148" t="s">
        <v>68</v>
      </c>
      <c r="O148" t="s">
        <v>56</v>
      </c>
    </row>
    <row r="149" spans="1:15" x14ac:dyDescent="0.3">
      <c r="A149">
        <v>1172</v>
      </c>
      <c r="B149" t="s">
        <v>414</v>
      </c>
      <c r="C149" t="s">
        <v>164</v>
      </c>
      <c r="D149" t="s">
        <v>37</v>
      </c>
      <c r="E149" t="s">
        <v>103</v>
      </c>
      <c r="F149" t="s">
        <v>415</v>
      </c>
      <c r="G149" t="s">
        <v>62</v>
      </c>
      <c r="H149" t="s">
        <v>132</v>
      </c>
      <c r="I149" t="s">
        <v>42</v>
      </c>
      <c r="J149" t="s">
        <v>53</v>
      </c>
      <c r="K149" t="s">
        <v>54</v>
      </c>
      <c r="L149" t="s">
        <v>53</v>
      </c>
      <c r="M149" t="s">
        <v>80</v>
      </c>
      <c r="N149" t="s">
        <v>69</v>
      </c>
    </row>
    <row r="150" spans="1:15" x14ac:dyDescent="0.3">
      <c r="A150">
        <v>1001</v>
      </c>
      <c r="B150" t="s">
        <v>416</v>
      </c>
      <c r="C150" t="s">
        <v>128</v>
      </c>
      <c r="D150" t="s">
        <v>102</v>
      </c>
      <c r="E150" t="s">
        <v>38</v>
      </c>
      <c r="F150" t="s">
        <v>222</v>
      </c>
      <c r="G150" t="s">
        <v>40</v>
      </c>
      <c r="H150" t="s">
        <v>214</v>
      </c>
      <c r="I150" t="s">
        <v>22</v>
      </c>
      <c r="J150" t="s">
        <v>207</v>
      </c>
      <c r="K150" t="s">
        <v>53</v>
      </c>
      <c r="L150" t="s">
        <v>216</v>
      </c>
      <c r="M150" t="s">
        <v>88</v>
      </c>
      <c r="N150" t="s">
        <v>69</v>
      </c>
    </row>
    <row r="151" spans="1:15" x14ac:dyDescent="0.3">
      <c r="A151">
        <v>1050</v>
      </c>
      <c r="B151" t="s">
        <v>417</v>
      </c>
      <c r="C151" t="s">
        <v>123</v>
      </c>
      <c r="D151" t="s">
        <v>109</v>
      </c>
      <c r="G151" t="s">
        <v>141</v>
      </c>
      <c r="H151" t="s">
        <v>106</v>
      </c>
      <c r="I151" t="s">
        <v>64</v>
      </c>
      <c r="J151" t="s">
        <v>189</v>
      </c>
      <c r="K151" t="s">
        <v>87</v>
      </c>
      <c r="L151" t="s">
        <v>418</v>
      </c>
      <c r="M151" t="s">
        <v>44</v>
      </c>
      <c r="N151" t="s">
        <v>55</v>
      </c>
      <c r="O151" t="s">
        <v>56</v>
      </c>
    </row>
    <row r="152" spans="1:15" x14ac:dyDescent="0.3">
      <c r="A152">
        <v>1035</v>
      </c>
      <c r="B152" t="s">
        <v>419</v>
      </c>
      <c r="C152" t="s">
        <v>147</v>
      </c>
      <c r="D152" t="s">
        <v>17</v>
      </c>
      <c r="E152" t="s">
        <v>110</v>
      </c>
      <c r="F152" t="s">
        <v>272</v>
      </c>
      <c r="G152" t="s">
        <v>62</v>
      </c>
      <c r="H152" t="s">
        <v>63</v>
      </c>
      <c r="I152" t="s">
        <v>42</v>
      </c>
      <c r="K152" t="s">
        <v>31</v>
      </c>
      <c r="M152" t="s">
        <v>75</v>
      </c>
      <c r="N152" t="s">
        <v>33</v>
      </c>
      <c r="O152" t="s">
        <v>81</v>
      </c>
    </row>
    <row r="153" spans="1:15" x14ac:dyDescent="0.3">
      <c r="A153">
        <v>1101</v>
      </c>
      <c r="B153" t="s">
        <v>250</v>
      </c>
      <c r="C153" t="s">
        <v>90</v>
      </c>
      <c r="D153" t="s">
        <v>135</v>
      </c>
      <c r="E153" t="s">
        <v>103</v>
      </c>
      <c r="F153" t="s">
        <v>420</v>
      </c>
      <c r="G153" t="s">
        <v>51</v>
      </c>
      <c r="H153" t="s">
        <v>93</v>
      </c>
      <c r="I153" t="s">
        <v>152</v>
      </c>
      <c r="J153" t="s">
        <v>173</v>
      </c>
      <c r="K153" t="s">
        <v>66</v>
      </c>
      <c r="L153" t="s">
        <v>421</v>
      </c>
      <c r="N153" t="s">
        <v>55</v>
      </c>
      <c r="O153" t="s">
        <v>121</v>
      </c>
    </row>
    <row r="154" spans="1:15" x14ac:dyDescent="0.3">
      <c r="A154">
        <v>1150</v>
      </c>
      <c r="B154" t="s">
        <v>422</v>
      </c>
      <c r="C154" t="s">
        <v>128</v>
      </c>
      <c r="D154" t="s">
        <v>59</v>
      </c>
      <c r="E154" t="s">
        <v>38</v>
      </c>
      <c r="F154" t="s">
        <v>222</v>
      </c>
      <c r="G154" t="s">
        <v>51</v>
      </c>
      <c r="I154" t="s">
        <v>64</v>
      </c>
      <c r="J154" t="s">
        <v>53</v>
      </c>
      <c r="K154" t="s">
        <v>54</v>
      </c>
      <c r="L154" t="s">
        <v>53</v>
      </c>
      <c r="M154" t="s">
        <v>68</v>
      </c>
      <c r="N154" t="s">
        <v>45</v>
      </c>
    </row>
    <row r="155" spans="1:15" x14ac:dyDescent="0.3">
      <c r="A155">
        <v>1162</v>
      </c>
      <c r="B155" t="s">
        <v>423</v>
      </c>
      <c r="C155" t="s">
        <v>424</v>
      </c>
      <c r="D155" t="s">
        <v>91</v>
      </c>
      <c r="E155" t="s">
        <v>25</v>
      </c>
      <c r="F155" t="s">
        <v>296</v>
      </c>
      <c r="G155" t="s">
        <v>425</v>
      </c>
      <c r="H155" t="s">
        <v>426</v>
      </c>
      <c r="I155" t="s">
        <v>269</v>
      </c>
      <c r="J155" t="s">
        <v>189</v>
      </c>
      <c r="K155" t="s">
        <v>185</v>
      </c>
      <c r="L155" t="s">
        <v>339</v>
      </c>
      <c r="M155" t="s">
        <v>75</v>
      </c>
      <c r="O155" t="s">
        <v>34</v>
      </c>
    </row>
    <row r="156" spans="1:15" x14ac:dyDescent="0.3">
      <c r="A156">
        <v>1041</v>
      </c>
      <c r="B156" t="s">
        <v>223</v>
      </c>
      <c r="C156" t="s">
        <v>83</v>
      </c>
      <c r="D156" t="s">
        <v>102</v>
      </c>
      <c r="E156" t="s">
        <v>110</v>
      </c>
      <c r="F156" t="s">
        <v>155</v>
      </c>
      <c r="G156" t="s">
        <v>162</v>
      </c>
      <c r="H156" t="s">
        <v>21</v>
      </c>
      <c r="I156" t="s">
        <v>125</v>
      </c>
      <c r="J156" t="s">
        <v>65</v>
      </c>
      <c r="K156" t="s">
        <v>112</v>
      </c>
      <c r="L156" t="s">
        <v>224</v>
      </c>
      <c r="M156" t="s">
        <v>88</v>
      </c>
      <c r="N156" t="s">
        <v>33</v>
      </c>
      <c r="O156" t="s">
        <v>34</v>
      </c>
    </row>
    <row r="157" spans="1:15" x14ac:dyDescent="0.3">
      <c r="A157">
        <v>1007</v>
      </c>
      <c r="B157" t="s">
        <v>427</v>
      </c>
      <c r="C157" t="s">
        <v>83</v>
      </c>
      <c r="D157" t="s">
        <v>135</v>
      </c>
      <c r="E157" t="s">
        <v>115</v>
      </c>
      <c r="F157" t="s">
        <v>308</v>
      </c>
      <c r="G157" t="s">
        <v>62</v>
      </c>
      <c r="H157" t="s">
        <v>150</v>
      </c>
      <c r="I157" t="s">
        <v>22</v>
      </c>
      <c r="J157" t="s">
        <v>207</v>
      </c>
      <c r="K157" t="s">
        <v>43</v>
      </c>
      <c r="L157" t="s">
        <v>428</v>
      </c>
      <c r="M157" t="s">
        <v>80</v>
      </c>
      <c r="O157" t="s">
        <v>121</v>
      </c>
    </row>
    <row r="158" spans="1:15" x14ac:dyDescent="0.3">
      <c r="A158">
        <v>1062</v>
      </c>
      <c r="B158" t="s">
        <v>429</v>
      </c>
      <c r="C158" t="s">
        <v>271</v>
      </c>
      <c r="D158" t="s">
        <v>17</v>
      </c>
      <c r="E158" t="s">
        <v>171</v>
      </c>
      <c r="F158" t="s">
        <v>318</v>
      </c>
      <c r="G158" t="s">
        <v>162</v>
      </c>
      <c r="H158" t="s">
        <v>93</v>
      </c>
      <c r="J158" t="s">
        <v>87</v>
      </c>
      <c r="K158" t="s">
        <v>112</v>
      </c>
      <c r="L158" t="s">
        <v>87</v>
      </c>
      <c r="M158" t="s">
        <v>44</v>
      </c>
      <c r="N158" t="s">
        <v>69</v>
      </c>
      <c r="O158" t="s">
        <v>34</v>
      </c>
    </row>
    <row r="159" spans="1:15" x14ac:dyDescent="0.3">
      <c r="A159">
        <v>1036</v>
      </c>
      <c r="B159" t="s">
        <v>430</v>
      </c>
      <c r="C159" t="s">
        <v>244</v>
      </c>
      <c r="D159" t="s">
        <v>102</v>
      </c>
      <c r="E159" t="s">
        <v>38</v>
      </c>
      <c r="F159" t="s">
        <v>222</v>
      </c>
      <c r="G159" t="s">
        <v>431</v>
      </c>
      <c r="I159" t="s">
        <v>331</v>
      </c>
      <c r="J159" t="s">
        <v>185</v>
      </c>
      <c r="K159" t="s">
        <v>87</v>
      </c>
      <c r="L159" t="s">
        <v>345</v>
      </c>
      <c r="M159" t="s">
        <v>32</v>
      </c>
      <c r="N159" t="s">
        <v>133</v>
      </c>
      <c r="O159" t="s">
        <v>46</v>
      </c>
    </row>
    <row r="160" spans="1:15" x14ac:dyDescent="0.3">
      <c r="A160">
        <v>1011</v>
      </c>
      <c r="B160" t="s">
        <v>432</v>
      </c>
      <c r="C160" t="s">
        <v>213</v>
      </c>
      <c r="D160" t="s">
        <v>37</v>
      </c>
      <c r="E160" t="s">
        <v>171</v>
      </c>
      <c r="F160" t="s">
        <v>350</v>
      </c>
      <c r="G160" t="s">
        <v>105</v>
      </c>
      <c r="H160" t="s">
        <v>106</v>
      </c>
      <c r="I160" t="s">
        <v>137</v>
      </c>
      <c r="J160" t="s">
        <v>65</v>
      </c>
      <c r="K160" t="s">
        <v>30</v>
      </c>
      <c r="L160" t="s">
        <v>433</v>
      </c>
      <c r="M160" t="s">
        <v>142</v>
      </c>
      <c r="N160" t="s">
        <v>69</v>
      </c>
      <c r="O160" t="s">
        <v>46</v>
      </c>
    </row>
    <row r="161" spans="1:15" x14ac:dyDescent="0.3">
      <c r="A161">
        <v>1005</v>
      </c>
      <c r="B161" t="s">
        <v>154</v>
      </c>
      <c r="C161" t="s">
        <v>71</v>
      </c>
      <c r="D161" t="s">
        <v>59</v>
      </c>
      <c r="E161" t="s">
        <v>110</v>
      </c>
      <c r="F161" t="s">
        <v>155</v>
      </c>
      <c r="G161" t="s">
        <v>156</v>
      </c>
      <c r="I161" t="s">
        <v>64</v>
      </c>
      <c r="J161" t="s">
        <v>30</v>
      </c>
      <c r="K161" t="s">
        <v>30</v>
      </c>
      <c r="L161" t="s">
        <v>30</v>
      </c>
      <c r="M161" t="s">
        <v>142</v>
      </c>
      <c r="N161" t="s">
        <v>45</v>
      </c>
      <c r="O161" t="s">
        <v>46</v>
      </c>
    </row>
    <row r="162" spans="1:15" x14ac:dyDescent="0.3">
      <c r="A162">
        <v>1072</v>
      </c>
      <c r="B162" t="s">
        <v>434</v>
      </c>
      <c r="C162" t="s">
        <v>147</v>
      </c>
      <c r="E162" t="s">
        <v>18</v>
      </c>
      <c r="F162" t="s">
        <v>206</v>
      </c>
      <c r="G162" t="s">
        <v>105</v>
      </c>
      <c r="H162" t="s">
        <v>52</v>
      </c>
      <c r="I162" t="s">
        <v>125</v>
      </c>
      <c r="K162" t="s">
        <v>53</v>
      </c>
      <c r="M162" t="s">
        <v>75</v>
      </c>
      <c r="N162" t="s">
        <v>69</v>
      </c>
    </row>
    <row r="163" spans="1:15" x14ac:dyDescent="0.3">
      <c r="A163">
        <v>1020</v>
      </c>
      <c r="B163" t="s">
        <v>435</v>
      </c>
      <c r="C163" t="s">
        <v>90</v>
      </c>
      <c r="D163" t="s">
        <v>37</v>
      </c>
      <c r="G163" t="s">
        <v>40</v>
      </c>
      <c r="H163" t="s">
        <v>150</v>
      </c>
      <c r="I163" t="s">
        <v>118</v>
      </c>
      <c r="J163" t="s">
        <v>189</v>
      </c>
      <c r="K163" t="s">
        <v>112</v>
      </c>
      <c r="L163" t="s">
        <v>390</v>
      </c>
      <c r="M163" t="s">
        <v>68</v>
      </c>
      <c r="N163" t="s">
        <v>133</v>
      </c>
      <c r="O163" t="s">
        <v>81</v>
      </c>
    </row>
    <row r="164" spans="1:15" x14ac:dyDescent="0.3">
      <c r="A164">
        <v>1094</v>
      </c>
      <c r="B164" t="s">
        <v>436</v>
      </c>
      <c r="C164" t="s">
        <v>71</v>
      </c>
      <c r="D164" t="s">
        <v>167</v>
      </c>
      <c r="E164" t="s">
        <v>18</v>
      </c>
      <c r="F164" t="s">
        <v>330</v>
      </c>
      <c r="G164" t="s">
        <v>144</v>
      </c>
      <c r="H164" t="s">
        <v>117</v>
      </c>
      <c r="I164" t="s">
        <v>80</v>
      </c>
      <c r="J164" t="s">
        <v>185</v>
      </c>
      <c r="K164" t="s">
        <v>112</v>
      </c>
      <c r="L164" t="s">
        <v>185</v>
      </c>
      <c r="N164" t="s">
        <v>33</v>
      </c>
      <c r="O164" t="s">
        <v>121</v>
      </c>
    </row>
    <row r="165" spans="1:15" x14ac:dyDescent="0.3">
      <c r="A165">
        <v>1160</v>
      </c>
      <c r="B165" t="s">
        <v>437</v>
      </c>
      <c r="C165" t="s">
        <v>58</v>
      </c>
      <c r="E165" t="s">
        <v>115</v>
      </c>
      <c r="F165" t="s">
        <v>206</v>
      </c>
      <c r="G165" t="s">
        <v>182</v>
      </c>
      <c r="H165" t="s">
        <v>74</v>
      </c>
      <c r="I165" t="s">
        <v>42</v>
      </c>
      <c r="J165" t="s">
        <v>65</v>
      </c>
      <c r="K165" t="s">
        <v>87</v>
      </c>
      <c r="L165" t="s">
        <v>319</v>
      </c>
      <c r="M165" t="s">
        <v>80</v>
      </c>
      <c r="N165" t="s">
        <v>133</v>
      </c>
      <c r="O165" t="s">
        <v>81</v>
      </c>
    </row>
    <row r="166" spans="1:15" x14ac:dyDescent="0.3">
      <c r="A166">
        <v>1119</v>
      </c>
      <c r="B166" t="s">
        <v>438</v>
      </c>
      <c r="C166" t="s">
        <v>158</v>
      </c>
      <c r="D166" t="s">
        <v>167</v>
      </c>
      <c r="E166" t="s">
        <v>18</v>
      </c>
      <c r="F166" t="s">
        <v>330</v>
      </c>
      <c r="G166" t="s">
        <v>116</v>
      </c>
      <c r="H166" t="s">
        <v>93</v>
      </c>
      <c r="I166" t="s">
        <v>22</v>
      </c>
      <c r="J166" t="s">
        <v>207</v>
      </c>
      <c r="K166" t="s">
        <v>30</v>
      </c>
      <c r="L166" t="s">
        <v>208</v>
      </c>
      <c r="M166" t="s">
        <v>75</v>
      </c>
      <c r="O166" t="s">
        <v>81</v>
      </c>
    </row>
    <row r="167" spans="1:15" x14ac:dyDescent="0.3">
      <c r="A167">
        <v>1145</v>
      </c>
      <c r="B167" t="s">
        <v>439</v>
      </c>
      <c r="C167" t="s">
        <v>16</v>
      </c>
      <c r="D167" t="s">
        <v>48</v>
      </c>
      <c r="E167" t="s">
        <v>159</v>
      </c>
      <c r="F167" t="s">
        <v>229</v>
      </c>
      <c r="G167" t="s">
        <v>131</v>
      </c>
      <c r="H167" t="s">
        <v>52</v>
      </c>
      <c r="J167" t="s">
        <v>189</v>
      </c>
      <c r="K167" t="s">
        <v>30</v>
      </c>
      <c r="L167" t="s">
        <v>440</v>
      </c>
      <c r="M167" t="s">
        <v>142</v>
      </c>
      <c r="N167" t="s">
        <v>133</v>
      </c>
      <c r="O167" t="s">
        <v>34</v>
      </c>
    </row>
    <row r="168" spans="1:15" x14ac:dyDescent="0.3">
      <c r="A168">
        <v>1002</v>
      </c>
      <c r="B168" t="s">
        <v>441</v>
      </c>
      <c r="D168" t="s">
        <v>102</v>
      </c>
      <c r="E168" t="s">
        <v>159</v>
      </c>
      <c r="F168" t="s">
        <v>198</v>
      </c>
      <c r="G168" t="s">
        <v>116</v>
      </c>
      <c r="H168" t="s">
        <v>132</v>
      </c>
      <c r="I168" t="s">
        <v>80</v>
      </c>
      <c r="J168" t="s">
        <v>30</v>
      </c>
      <c r="K168" t="s">
        <v>30</v>
      </c>
      <c r="L168" t="s">
        <v>30</v>
      </c>
      <c r="M168" t="s">
        <v>142</v>
      </c>
      <c r="N168" t="s">
        <v>133</v>
      </c>
      <c r="O168" t="s">
        <v>46</v>
      </c>
    </row>
    <row r="169" spans="1:15" x14ac:dyDescent="0.3">
      <c r="A169">
        <v>1084</v>
      </c>
      <c r="B169" t="s">
        <v>442</v>
      </c>
      <c r="D169" t="s">
        <v>109</v>
      </c>
      <c r="E169" t="s">
        <v>115</v>
      </c>
      <c r="F169" t="s">
        <v>408</v>
      </c>
      <c r="G169" t="s">
        <v>85</v>
      </c>
      <c r="H169" t="s">
        <v>106</v>
      </c>
      <c r="I169" t="s">
        <v>125</v>
      </c>
      <c r="J169" t="s">
        <v>30</v>
      </c>
      <c r="O169" t="s">
        <v>76</v>
      </c>
    </row>
    <row r="170" spans="1:15" x14ac:dyDescent="0.3">
      <c r="A170">
        <v>1016</v>
      </c>
      <c r="B170" t="s">
        <v>443</v>
      </c>
      <c r="C170" t="s">
        <v>170</v>
      </c>
      <c r="E170" t="s">
        <v>38</v>
      </c>
      <c r="G170" t="s">
        <v>162</v>
      </c>
      <c r="H170" t="s">
        <v>150</v>
      </c>
      <c r="I170" t="s">
        <v>42</v>
      </c>
      <c r="J170" t="s">
        <v>185</v>
      </c>
      <c r="K170" t="s">
        <v>31</v>
      </c>
      <c r="L170" t="s">
        <v>185</v>
      </c>
      <c r="M170" t="s">
        <v>142</v>
      </c>
      <c r="N170" t="s">
        <v>45</v>
      </c>
    </row>
    <row r="171" spans="1:15" x14ac:dyDescent="0.3">
      <c r="A171">
        <v>1088</v>
      </c>
      <c r="B171" t="s">
        <v>444</v>
      </c>
      <c r="C171" t="s">
        <v>128</v>
      </c>
      <c r="E171" t="s">
        <v>38</v>
      </c>
      <c r="G171" t="s">
        <v>85</v>
      </c>
      <c r="H171" t="s">
        <v>63</v>
      </c>
      <c r="I171" t="s">
        <v>94</v>
      </c>
      <c r="J171" t="s">
        <v>173</v>
      </c>
      <c r="K171" t="s">
        <v>30</v>
      </c>
      <c r="L171" t="s">
        <v>395</v>
      </c>
      <c r="M171" t="s">
        <v>68</v>
      </c>
      <c r="N171" t="s">
        <v>69</v>
      </c>
      <c r="O171" t="s">
        <v>46</v>
      </c>
    </row>
    <row r="172" spans="1:15" x14ac:dyDescent="0.3">
      <c r="A172">
        <v>1138</v>
      </c>
      <c r="B172" t="s">
        <v>445</v>
      </c>
      <c r="C172" t="s">
        <v>83</v>
      </c>
      <c r="E172" t="s">
        <v>148</v>
      </c>
      <c r="G172" t="s">
        <v>20</v>
      </c>
      <c r="H172" t="s">
        <v>106</v>
      </c>
      <c r="I172" t="s">
        <v>118</v>
      </c>
      <c r="J172" t="s">
        <v>87</v>
      </c>
      <c r="M172" t="s">
        <v>44</v>
      </c>
      <c r="N172" t="s">
        <v>69</v>
      </c>
      <c r="O172" t="s">
        <v>56</v>
      </c>
    </row>
    <row r="173" spans="1:15" x14ac:dyDescent="0.3">
      <c r="A173">
        <v>1005</v>
      </c>
      <c r="B173" t="s">
        <v>446</v>
      </c>
      <c r="C173" t="s">
        <v>58</v>
      </c>
      <c r="D173" t="s">
        <v>167</v>
      </c>
      <c r="E173" t="s">
        <v>38</v>
      </c>
      <c r="F173" t="s">
        <v>447</v>
      </c>
      <c r="G173" t="s">
        <v>105</v>
      </c>
      <c r="H173" t="s">
        <v>52</v>
      </c>
      <c r="J173" t="s">
        <v>173</v>
      </c>
      <c r="K173" t="s">
        <v>185</v>
      </c>
      <c r="L173" t="s">
        <v>186</v>
      </c>
      <c r="N173" t="s">
        <v>133</v>
      </c>
      <c r="O173" t="s">
        <v>81</v>
      </c>
    </row>
    <row r="174" spans="1:15" x14ac:dyDescent="0.3">
      <c r="A174">
        <v>1039</v>
      </c>
      <c r="B174" t="s">
        <v>448</v>
      </c>
      <c r="C174" t="s">
        <v>147</v>
      </c>
      <c r="D174" t="s">
        <v>17</v>
      </c>
      <c r="E174" t="s">
        <v>115</v>
      </c>
      <c r="F174" t="s">
        <v>449</v>
      </c>
      <c r="G174" t="s">
        <v>116</v>
      </c>
      <c r="H174" t="s">
        <v>41</v>
      </c>
      <c r="I174" t="s">
        <v>125</v>
      </c>
      <c r="J174" t="s">
        <v>65</v>
      </c>
      <c r="K174" t="s">
        <v>66</v>
      </c>
      <c r="L174" t="s">
        <v>67</v>
      </c>
      <c r="M174" t="s">
        <v>75</v>
      </c>
      <c r="O174" t="s">
        <v>34</v>
      </c>
    </row>
    <row r="175" spans="1:15" x14ac:dyDescent="0.3">
      <c r="A175">
        <v>1178</v>
      </c>
      <c r="B175" t="s">
        <v>450</v>
      </c>
      <c r="C175" t="s">
        <v>83</v>
      </c>
      <c r="D175" t="s">
        <v>109</v>
      </c>
      <c r="F175" t="s">
        <v>206</v>
      </c>
      <c r="G175" t="s">
        <v>20</v>
      </c>
      <c r="H175" t="s">
        <v>93</v>
      </c>
      <c r="I175" t="s">
        <v>137</v>
      </c>
      <c r="J175" t="s">
        <v>189</v>
      </c>
      <c r="K175" t="s">
        <v>185</v>
      </c>
      <c r="L175" t="s">
        <v>339</v>
      </c>
      <c r="M175" t="s">
        <v>142</v>
      </c>
      <c r="N175" t="s">
        <v>69</v>
      </c>
      <c r="O175" t="s">
        <v>76</v>
      </c>
    </row>
    <row r="176" spans="1:15" x14ac:dyDescent="0.3">
      <c r="A176">
        <v>1035</v>
      </c>
      <c r="B176" t="s">
        <v>419</v>
      </c>
      <c r="C176" t="s">
        <v>147</v>
      </c>
      <c r="D176" t="s">
        <v>17</v>
      </c>
      <c r="E176" t="s">
        <v>110</v>
      </c>
      <c r="F176" t="s">
        <v>272</v>
      </c>
      <c r="G176" t="s">
        <v>62</v>
      </c>
      <c r="H176" t="s">
        <v>63</v>
      </c>
      <c r="I176" t="s">
        <v>42</v>
      </c>
      <c r="K176" t="s">
        <v>31</v>
      </c>
      <c r="M176" t="s">
        <v>75</v>
      </c>
      <c r="N176" t="s">
        <v>33</v>
      </c>
      <c r="O176" t="s">
        <v>81</v>
      </c>
    </row>
    <row r="177" spans="1:15" x14ac:dyDescent="0.3">
      <c r="A177">
        <v>1113</v>
      </c>
      <c r="B177" t="s">
        <v>451</v>
      </c>
      <c r="C177" t="s">
        <v>177</v>
      </c>
      <c r="D177" t="s">
        <v>59</v>
      </c>
      <c r="E177" t="s">
        <v>115</v>
      </c>
      <c r="F177" t="s">
        <v>181</v>
      </c>
      <c r="G177" t="s">
        <v>178</v>
      </c>
      <c r="H177" t="s">
        <v>426</v>
      </c>
      <c r="I177" t="s">
        <v>338</v>
      </c>
      <c r="J177" t="s">
        <v>207</v>
      </c>
      <c r="K177" t="s">
        <v>31</v>
      </c>
      <c r="L177" t="s">
        <v>452</v>
      </c>
      <c r="M177" t="s">
        <v>88</v>
      </c>
      <c r="N177" t="s">
        <v>33</v>
      </c>
      <c r="O177" t="s">
        <v>34</v>
      </c>
    </row>
    <row r="178" spans="1:15" x14ac:dyDescent="0.3">
      <c r="A178">
        <v>1153</v>
      </c>
      <c r="B178" t="s">
        <v>453</v>
      </c>
      <c r="C178" t="s">
        <v>58</v>
      </c>
      <c r="D178" t="s">
        <v>109</v>
      </c>
      <c r="F178" t="s">
        <v>206</v>
      </c>
      <c r="H178" t="s">
        <v>214</v>
      </c>
      <c r="I178" t="s">
        <v>22</v>
      </c>
      <c r="J178" t="s">
        <v>185</v>
      </c>
      <c r="K178" t="s">
        <v>87</v>
      </c>
      <c r="L178" t="s">
        <v>345</v>
      </c>
      <c r="M178" t="s">
        <v>32</v>
      </c>
      <c r="N178" t="s">
        <v>33</v>
      </c>
      <c r="O178" t="s">
        <v>34</v>
      </c>
    </row>
    <row r="179" spans="1:15" x14ac:dyDescent="0.3">
      <c r="A179">
        <v>1057</v>
      </c>
      <c r="B179" t="s">
        <v>413</v>
      </c>
      <c r="C179" t="s">
        <v>454</v>
      </c>
      <c r="D179" t="s">
        <v>91</v>
      </c>
      <c r="E179" t="s">
        <v>110</v>
      </c>
      <c r="F179" t="s">
        <v>218</v>
      </c>
      <c r="G179" t="s">
        <v>253</v>
      </c>
      <c r="H179" t="s">
        <v>375</v>
      </c>
      <c r="I179" t="s">
        <v>331</v>
      </c>
      <c r="J179" t="s">
        <v>207</v>
      </c>
      <c r="K179" t="s">
        <v>66</v>
      </c>
      <c r="L179" t="s">
        <v>265</v>
      </c>
      <c r="M179" t="s">
        <v>68</v>
      </c>
      <c r="N179" t="s">
        <v>45</v>
      </c>
      <c r="O179" t="s">
        <v>76</v>
      </c>
    </row>
    <row r="180" spans="1:15" x14ac:dyDescent="0.3">
      <c r="A180">
        <v>1070</v>
      </c>
      <c r="B180" t="s">
        <v>455</v>
      </c>
      <c r="C180" t="s">
        <v>128</v>
      </c>
      <c r="D180" t="s">
        <v>17</v>
      </c>
      <c r="E180" t="s">
        <v>159</v>
      </c>
      <c r="F180" t="s">
        <v>359</v>
      </c>
      <c r="G180" t="s">
        <v>124</v>
      </c>
      <c r="H180" t="s">
        <v>117</v>
      </c>
      <c r="I180" t="s">
        <v>22</v>
      </c>
      <c r="J180" t="s">
        <v>87</v>
      </c>
      <c r="K180" t="s">
        <v>87</v>
      </c>
      <c r="L180" t="s">
        <v>456</v>
      </c>
      <c r="M180" t="s">
        <v>142</v>
      </c>
      <c r="N180" t="s">
        <v>69</v>
      </c>
      <c r="O180" t="s">
        <v>76</v>
      </c>
    </row>
    <row r="181" spans="1:15" x14ac:dyDescent="0.3">
      <c r="A181">
        <v>1045</v>
      </c>
      <c r="B181" t="s">
        <v>457</v>
      </c>
      <c r="C181" t="s">
        <v>90</v>
      </c>
      <c r="D181" t="s">
        <v>59</v>
      </c>
      <c r="E181" t="s">
        <v>171</v>
      </c>
      <c r="F181" t="s">
        <v>347</v>
      </c>
      <c r="G181" t="s">
        <v>182</v>
      </c>
      <c r="H181" t="s">
        <v>106</v>
      </c>
      <c r="I181" t="s">
        <v>107</v>
      </c>
      <c r="J181" t="s">
        <v>65</v>
      </c>
      <c r="K181" t="s">
        <v>30</v>
      </c>
      <c r="L181" t="s">
        <v>433</v>
      </c>
      <c r="M181" t="s">
        <v>88</v>
      </c>
      <c r="N181" t="s">
        <v>55</v>
      </c>
      <c r="O181" t="s">
        <v>46</v>
      </c>
    </row>
    <row r="182" spans="1:15" x14ac:dyDescent="0.3">
      <c r="A182">
        <v>1020</v>
      </c>
      <c r="B182" t="s">
        <v>458</v>
      </c>
      <c r="C182" t="s">
        <v>164</v>
      </c>
      <c r="D182" t="s">
        <v>48</v>
      </c>
      <c r="E182" t="s">
        <v>60</v>
      </c>
      <c r="F182" t="s">
        <v>459</v>
      </c>
      <c r="G182" t="s">
        <v>51</v>
      </c>
      <c r="I182" t="s">
        <v>125</v>
      </c>
      <c r="J182" t="s">
        <v>87</v>
      </c>
      <c r="K182" t="s">
        <v>185</v>
      </c>
      <c r="L182" t="s">
        <v>345</v>
      </c>
      <c r="M182" t="s">
        <v>142</v>
      </c>
      <c r="N182" t="s">
        <v>69</v>
      </c>
      <c r="O182" t="s">
        <v>121</v>
      </c>
    </row>
    <row r="183" spans="1:15" x14ac:dyDescent="0.3">
      <c r="A183">
        <v>1007</v>
      </c>
      <c r="B183" t="s">
        <v>460</v>
      </c>
      <c r="C183" t="s">
        <v>164</v>
      </c>
      <c r="D183" t="s">
        <v>48</v>
      </c>
      <c r="E183" t="s">
        <v>25</v>
      </c>
      <c r="F183" t="s">
        <v>97</v>
      </c>
      <c r="G183" t="s">
        <v>131</v>
      </c>
      <c r="H183" t="s">
        <v>52</v>
      </c>
      <c r="I183" t="s">
        <v>152</v>
      </c>
      <c r="J183" t="s">
        <v>119</v>
      </c>
      <c r="K183" t="s">
        <v>185</v>
      </c>
      <c r="L183" t="s">
        <v>238</v>
      </c>
      <c r="M183" t="s">
        <v>44</v>
      </c>
      <c r="N183" t="s">
        <v>55</v>
      </c>
    </row>
    <row r="184" spans="1:15" x14ac:dyDescent="0.3">
      <c r="A184">
        <v>1056</v>
      </c>
      <c r="B184" t="s">
        <v>461</v>
      </c>
      <c r="C184" t="s">
        <v>271</v>
      </c>
      <c r="D184" t="s">
        <v>17</v>
      </c>
      <c r="E184" t="s">
        <v>49</v>
      </c>
      <c r="F184" t="s">
        <v>188</v>
      </c>
      <c r="G184" t="s">
        <v>156</v>
      </c>
      <c r="H184" t="s">
        <v>86</v>
      </c>
      <c r="I184" t="s">
        <v>107</v>
      </c>
      <c r="J184" t="s">
        <v>65</v>
      </c>
      <c r="K184" t="s">
        <v>43</v>
      </c>
      <c r="L184" t="s">
        <v>176</v>
      </c>
      <c r="N184" t="s">
        <v>133</v>
      </c>
      <c r="O184" t="s">
        <v>145</v>
      </c>
    </row>
    <row r="185" spans="1:15" x14ac:dyDescent="0.3">
      <c r="A185">
        <v>1076</v>
      </c>
      <c r="B185" t="s">
        <v>462</v>
      </c>
      <c r="C185" t="s">
        <v>213</v>
      </c>
      <c r="D185" t="s">
        <v>167</v>
      </c>
      <c r="E185" t="s">
        <v>103</v>
      </c>
      <c r="F185" t="s">
        <v>463</v>
      </c>
      <c r="G185" t="s">
        <v>105</v>
      </c>
      <c r="H185" t="s">
        <v>21</v>
      </c>
      <c r="I185" t="s">
        <v>118</v>
      </c>
      <c r="J185" t="s">
        <v>207</v>
      </c>
      <c r="M185" t="s">
        <v>68</v>
      </c>
      <c r="N185" t="s">
        <v>133</v>
      </c>
      <c r="O185" t="s">
        <v>121</v>
      </c>
    </row>
    <row r="186" spans="1:15" x14ac:dyDescent="0.3">
      <c r="A186">
        <v>1001</v>
      </c>
      <c r="C186" t="s">
        <v>252</v>
      </c>
      <c r="D186" t="s">
        <v>109</v>
      </c>
      <c r="E186" t="s">
        <v>38</v>
      </c>
      <c r="F186" t="s">
        <v>357</v>
      </c>
      <c r="G186" t="s">
        <v>279</v>
      </c>
      <c r="H186" t="s">
        <v>254</v>
      </c>
      <c r="I186" t="s">
        <v>331</v>
      </c>
      <c r="K186" t="s">
        <v>43</v>
      </c>
      <c r="M186" t="s">
        <v>142</v>
      </c>
      <c r="N186" t="s">
        <v>45</v>
      </c>
      <c r="O186" t="s">
        <v>76</v>
      </c>
    </row>
    <row r="187" spans="1:15" x14ac:dyDescent="0.3">
      <c r="A187">
        <v>1089</v>
      </c>
      <c r="B187" t="s">
        <v>464</v>
      </c>
      <c r="C187" t="s">
        <v>71</v>
      </c>
      <c r="D187" t="s">
        <v>91</v>
      </c>
      <c r="E187" t="s">
        <v>72</v>
      </c>
      <c r="F187" t="s">
        <v>92</v>
      </c>
      <c r="G187" t="s">
        <v>144</v>
      </c>
      <c r="H187" t="s">
        <v>86</v>
      </c>
      <c r="I187" t="s">
        <v>94</v>
      </c>
      <c r="K187" t="s">
        <v>112</v>
      </c>
      <c r="M187" t="s">
        <v>32</v>
      </c>
      <c r="N187" t="s">
        <v>55</v>
      </c>
      <c r="O187" t="s">
        <v>46</v>
      </c>
    </row>
    <row r="188" spans="1:15" x14ac:dyDescent="0.3">
      <c r="A188">
        <v>1136</v>
      </c>
      <c r="B188" t="s">
        <v>465</v>
      </c>
      <c r="C188" t="s">
        <v>128</v>
      </c>
      <c r="D188" t="s">
        <v>37</v>
      </c>
      <c r="E188" t="s">
        <v>115</v>
      </c>
      <c r="F188" t="s">
        <v>334</v>
      </c>
      <c r="G188" t="s">
        <v>162</v>
      </c>
      <c r="H188" t="s">
        <v>86</v>
      </c>
      <c r="I188" t="s">
        <v>42</v>
      </c>
      <c r="J188" t="s">
        <v>43</v>
      </c>
      <c r="K188" t="s">
        <v>66</v>
      </c>
      <c r="L188" t="s">
        <v>43</v>
      </c>
      <c r="M188" t="s">
        <v>80</v>
      </c>
      <c r="N188" t="s">
        <v>69</v>
      </c>
      <c r="O188" t="s">
        <v>56</v>
      </c>
    </row>
    <row r="189" spans="1:15" x14ac:dyDescent="0.3">
      <c r="A189">
        <v>1128</v>
      </c>
      <c r="B189" t="s">
        <v>466</v>
      </c>
      <c r="C189" t="s">
        <v>58</v>
      </c>
      <c r="D189" t="s">
        <v>48</v>
      </c>
      <c r="E189" t="s">
        <v>171</v>
      </c>
      <c r="F189" t="s">
        <v>467</v>
      </c>
      <c r="G189" t="s">
        <v>85</v>
      </c>
      <c r="H189" t="s">
        <v>117</v>
      </c>
      <c r="I189" t="s">
        <v>80</v>
      </c>
      <c r="J189" t="s">
        <v>207</v>
      </c>
      <c r="K189" t="s">
        <v>43</v>
      </c>
      <c r="L189" t="s">
        <v>428</v>
      </c>
      <c r="N189" t="s">
        <v>33</v>
      </c>
    </row>
    <row r="190" spans="1:15" x14ac:dyDescent="0.3">
      <c r="A190">
        <v>1177</v>
      </c>
      <c r="B190" t="s">
        <v>468</v>
      </c>
      <c r="C190" t="s">
        <v>101</v>
      </c>
      <c r="D190" t="s">
        <v>48</v>
      </c>
      <c r="E190" t="s">
        <v>159</v>
      </c>
      <c r="F190" t="s">
        <v>229</v>
      </c>
      <c r="G190" t="s">
        <v>62</v>
      </c>
      <c r="H190" t="s">
        <v>214</v>
      </c>
      <c r="I190" t="s">
        <v>125</v>
      </c>
      <c r="J190" t="s">
        <v>207</v>
      </c>
      <c r="K190" t="s">
        <v>66</v>
      </c>
      <c r="L190" t="s">
        <v>265</v>
      </c>
      <c r="M190" t="s">
        <v>75</v>
      </c>
    </row>
    <row r="191" spans="1:15" x14ac:dyDescent="0.3">
      <c r="A191">
        <v>1069</v>
      </c>
      <c r="B191" t="s">
        <v>469</v>
      </c>
      <c r="C191" t="s">
        <v>128</v>
      </c>
      <c r="D191" t="s">
        <v>167</v>
      </c>
      <c r="E191" t="s">
        <v>72</v>
      </c>
      <c r="F191" t="s">
        <v>470</v>
      </c>
      <c r="G191" t="s">
        <v>182</v>
      </c>
      <c r="H191" t="s">
        <v>63</v>
      </c>
      <c r="J191" t="s">
        <v>53</v>
      </c>
      <c r="K191" t="s">
        <v>112</v>
      </c>
      <c r="L191" t="s">
        <v>53</v>
      </c>
      <c r="M191" t="s">
        <v>44</v>
      </c>
      <c r="N191" t="s">
        <v>69</v>
      </c>
      <c r="O191" t="s">
        <v>34</v>
      </c>
    </row>
    <row r="192" spans="1:15" x14ac:dyDescent="0.3">
      <c r="A192">
        <v>1168</v>
      </c>
      <c r="B192" t="s">
        <v>471</v>
      </c>
      <c r="C192" t="s">
        <v>128</v>
      </c>
      <c r="D192" t="s">
        <v>59</v>
      </c>
      <c r="E192" t="s">
        <v>18</v>
      </c>
      <c r="F192" t="s">
        <v>313</v>
      </c>
      <c r="G192" t="s">
        <v>85</v>
      </c>
      <c r="H192" t="s">
        <v>86</v>
      </c>
      <c r="I192" t="s">
        <v>94</v>
      </c>
      <c r="J192" t="s">
        <v>207</v>
      </c>
      <c r="K192" t="s">
        <v>112</v>
      </c>
      <c r="L192" t="s">
        <v>332</v>
      </c>
      <c r="M192" t="s">
        <v>80</v>
      </c>
      <c r="N192" t="s">
        <v>69</v>
      </c>
      <c r="O192" t="s">
        <v>121</v>
      </c>
    </row>
    <row r="193" spans="1:15" x14ac:dyDescent="0.3">
      <c r="A193">
        <v>1137</v>
      </c>
      <c r="B193" t="s">
        <v>472</v>
      </c>
      <c r="C193" t="s">
        <v>90</v>
      </c>
      <c r="D193" t="s">
        <v>48</v>
      </c>
      <c r="E193" t="s">
        <v>159</v>
      </c>
      <c r="F193" t="s">
        <v>229</v>
      </c>
      <c r="G193" t="s">
        <v>62</v>
      </c>
      <c r="H193" t="s">
        <v>41</v>
      </c>
      <c r="I193" t="s">
        <v>64</v>
      </c>
      <c r="J193" t="s">
        <v>119</v>
      </c>
      <c r="K193" t="s">
        <v>53</v>
      </c>
      <c r="L193" t="s">
        <v>473</v>
      </c>
      <c r="N193" t="s">
        <v>55</v>
      </c>
      <c r="O193" t="s">
        <v>34</v>
      </c>
    </row>
    <row r="194" spans="1:15" x14ac:dyDescent="0.3">
      <c r="A194">
        <v>1043</v>
      </c>
      <c r="B194" t="s">
        <v>474</v>
      </c>
      <c r="C194" t="s">
        <v>328</v>
      </c>
      <c r="D194" t="s">
        <v>102</v>
      </c>
      <c r="E194" t="s">
        <v>25</v>
      </c>
      <c r="F194" t="s">
        <v>84</v>
      </c>
      <c r="G194" t="s">
        <v>253</v>
      </c>
      <c r="I194" t="s">
        <v>99</v>
      </c>
      <c r="J194" t="s">
        <v>207</v>
      </c>
      <c r="K194" t="s">
        <v>53</v>
      </c>
      <c r="L194" t="s">
        <v>216</v>
      </c>
      <c r="M194" t="s">
        <v>88</v>
      </c>
      <c r="N194" t="s">
        <v>45</v>
      </c>
      <c r="O194" t="s">
        <v>76</v>
      </c>
    </row>
    <row r="195" spans="1:15" x14ac:dyDescent="0.3">
      <c r="A195">
        <v>1111</v>
      </c>
      <c r="B195" t="s">
        <v>475</v>
      </c>
      <c r="C195" t="s">
        <v>164</v>
      </c>
      <c r="D195" t="s">
        <v>59</v>
      </c>
      <c r="E195" t="s">
        <v>115</v>
      </c>
      <c r="F195" t="s">
        <v>181</v>
      </c>
      <c r="G195" t="s">
        <v>156</v>
      </c>
      <c r="H195" t="s">
        <v>52</v>
      </c>
      <c r="I195" t="s">
        <v>22</v>
      </c>
      <c r="J195" t="s">
        <v>207</v>
      </c>
      <c r="K195" t="s">
        <v>112</v>
      </c>
      <c r="L195" t="s">
        <v>332</v>
      </c>
      <c r="M195" t="s">
        <v>75</v>
      </c>
      <c r="N195" t="s">
        <v>69</v>
      </c>
      <c r="O195" t="s">
        <v>76</v>
      </c>
    </row>
    <row r="196" spans="1:15" x14ac:dyDescent="0.3">
      <c r="A196">
        <v>1090</v>
      </c>
      <c r="B196" t="s">
        <v>476</v>
      </c>
      <c r="C196" t="s">
        <v>101</v>
      </c>
      <c r="D196" t="s">
        <v>102</v>
      </c>
      <c r="E196" t="s">
        <v>148</v>
      </c>
      <c r="F196" t="s">
        <v>195</v>
      </c>
      <c r="H196" t="s">
        <v>21</v>
      </c>
      <c r="I196" t="s">
        <v>94</v>
      </c>
      <c r="J196" t="s">
        <v>189</v>
      </c>
      <c r="K196" t="s">
        <v>185</v>
      </c>
      <c r="L196" t="s">
        <v>339</v>
      </c>
      <c r="M196" t="s">
        <v>75</v>
      </c>
      <c r="O196" t="s">
        <v>145</v>
      </c>
    </row>
    <row r="197" spans="1:15" x14ac:dyDescent="0.3">
      <c r="A197">
        <v>1073</v>
      </c>
      <c r="B197" t="s">
        <v>477</v>
      </c>
      <c r="D197" t="s">
        <v>135</v>
      </c>
      <c r="E197" t="s">
        <v>115</v>
      </c>
      <c r="F197" t="s">
        <v>308</v>
      </c>
      <c r="G197" t="s">
        <v>85</v>
      </c>
      <c r="H197" t="s">
        <v>117</v>
      </c>
      <c r="I197" t="s">
        <v>80</v>
      </c>
      <c r="K197" t="s">
        <v>53</v>
      </c>
      <c r="M197" t="s">
        <v>142</v>
      </c>
      <c r="N197" t="s">
        <v>133</v>
      </c>
      <c r="O197" t="s">
        <v>81</v>
      </c>
    </row>
    <row r="198" spans="1:15" x14ac:dyDescent="0.3">
      <c r="A198">
        <v>1024</v>
      </c>
      <c r="B198" t="s">
        <v>478</v>
      </c>
      <c r="C198" t="s">
        <v>147</v>
      </c>
      <c r="D198" t="s">
        <v>102</v>
      </c>
      <c r="E198" t="s">
        <v>115</v>
      </c>
      <c r="F198" t="s">
        <v>181</v>
      </c>
      <c r="G198" t="s">
        <v>105</v>
      </c>
      <c r="H198" t="s">
        <v>150</v>
      </c>
      <c r="I198" t="s">
        <v>137</v>
      </c>
      <c r="J198" t="s">
        <v>53</v>
      </c>
      <c r="K198" t="s">
        <v>66</v>
      </c>
      <c r="L198" t="s">
        <v>53</v>
      </c>
      <c r="M198" t="s">
        <v>75</v>
      </c>
      <c r="N198" t="s">
        <v>55</v>
      </c>
      <c r="O198" t="s">
        <v>34</v>
      </c>
    </row>
    <row r="199" spans="1:15" x14ac:dyDescent="0.3">
      <c r="A199">
        <v>1143</v>
      </c>
      <c r="B199" t="s">
        <v>479</v>
      </c>
      <c r="C199" t="s">
        <v>310</v>
      </c>
      <c r="D199" t="s">
        <v>167</v>
      </c>
      <c r="E199" t="s">
        <v>25</v>
      </c>
      <c r="F199" t="s">
        <v>480</v>
      </c>
      <c r="G199" t="s">
        <v>40</v>
      </c>
      <c r="H199" t="s">
        <v>214</v>
      </c>
      <c r="I199" t="s">
        <v>152</v>
      </c>
      <c r="J199" t="s">
        <v>119</v>
      </c>
      <c r="K199" t="s">
        <v>66</v>
      </c>
      <c r="L199" t="s">
        <v>126</v>
      </c>
      <c r="M199" t="s">
        <v>68</v>
      </c>
      <c r="N199" t="s">
        <v>69</v>
      </c>
      <c r="O199" t="s">
        <v>81</v>
      </c>
    </row>
    <row r="200" spans="1:15" x14ac:dyDescent="0.3">
      <c r="A200">
        <v>1006</v>
      </c>
      <c r="B200" t="s">
        <v>481</v>
      </c>
      <c r="C200" t="s">
        <v>78</v>
      </c>
      <c r="E200" t="s">
        <v>115</v>
      </c>
      <c r="G200" t="s">
        <v>51</v>
      </c>
      <c r="H200" t="s">
        <v>86</v>
      </c>
      <c r="I200" t="s">
        <v>22</v>
      </c>
      <c r="J200" t="s">
        <v>173</v>
      </c>
      <c r="K200" t="s">
        <v>66</v>
      </c>
      <c r="L200" t="s">
        <v>421</v>
      </c>
      <c r="M200" t="s">
        <v>88</v>
      </c>
      <c r="N200" t="s">
        <v>55</v>
      </c>
      <c r="O200" t="s">
        <v>121</v>
      </c>
    </row>
    <row r="201" spans="1:15" x14ac:dyDescent="0.3">
      <c r="A201">
        <v>1093</v>
      </c>
      <c r="B201" t="s">
        <v>482</v>
      </c>
      <c r="C201" t="s">
        <v>71</v>
      </c>
      <c r="D201" t="s">
        <v>167</v>
      </c>
      <c r="E201" t="s">
        <v>110</v>
      </c>
      <c r="F201" t="s">
        <v>483</v>
      </c>
      <c r="H201" t="s">
        <v>52</v>
      </c>
      <c r="I201" t="s">
        <v>80</v>
      </c>
      <c r="J201" t="s">
        <v>173</v>
      </c>
      <c r="K201" t="s">
        <v>54</v>
      </c>
      <c r="L201" t="s">
        <v>211</v>
      </c>
      <c r="M201" t="s">
        <v>142</v>
      </c>
      <c r="O201" t="s">
        <v>46</v>
      </c>
    </row>
    <row r="202" spans="1:15" x14ac:dyDescent="0.3">
      <c r="A202">
        <v>1104</v>
      </c>
      <c r="B202" t="s">
        <v>484</v>
      </c>
      <c r="C202" t="s">
        <v>123</v>
      </c>
      <c r="D202" t="s">
        <v>167</v>
      </c>
      <c r="E202" t="s">
        <v>25</v>
      </c>
      <c r="F202" t="s">
        <v>480</v>
      </c>
      <c r="G202" t="s">
        <v>105</v>
      </c>
      <c r="H202" t="s">
        <v>52</v>
      </c>
      <c r="I202" t="s">
        <v>152</v>
      </c>
      <c r="J202" t="s">
        <v>189</v>
      </c>
      <c r="K202" t="s">
        <v>53</v>
      </c>
      <c r="L202" t="s">
        <v>335</v>
      </c>
      <c r="M202" t="s">
        <v>80</v>
      </c>
      <c r="N202" t="s">
        <v>69</v>
      </c>
      <c r="O202" t="s">
        <v>76</v>
      </c>
    </row>
    <row r="203" spans="1:15" x14ac:dyDescent="0.3">
      <c r="A203">
        <v>1152</v>
      </c>
      <c r="B203" t="s">
        <v>485</v>
      </c>
      <c r="C203" t="s">
        <v>312</v>
      </c>
      <c r="D203" t="s">
        <v>37</v>
      </c>
      <c r="E203" t="s">
        <v>18</v>
      </c>
      <c r="F203" t="s">
        <v>323</v>
      </c>
      <c r="G203" t="s">
        <v>141</v>
      </c>
      <c r="H203" t="s">
        <v>63</v>
      </c>
      <c r="I203" t="s">
        <v>80</v>
      </c>
      <c r="J203" t="s">
        <v>207</v>
      </c>
      <c r="K203" t="s">
        <v>31</v>
      </c>
      <c r="L203" t="s">
        <v>452</v>
      </c>
      <c r="N203" t="s">
        <v>69</v>
      </c>
    </row>
    <row r="204" spans="1:15" x14ac:dyDescent="0.3">
      <c r="A204">
        <v>1068</v>
      </c>
      <c r="B204" t="s">
        <v>486</v>
      </c>
      <c r="C204" t="s">
        <v>271</v>
      </c>
      <c r="D204" t="s">
        <v>129</v>
      </c>
      <c r="E204" t="s">
        <v>159</v>
      </c>
      <c r="F204" t="s">
        <v>487</v>
      </c>
      <c r="H204" t="s">
        <v>41</v>
      </c>
      <c r="J204" t="s">
        <v>43</v>
      </c>
      <c r="K204" t="s">
        <v>66</v>
      </c>
      <c r="L204" t="s">
        <v>43</v>
      </c>
      <c r="M204" t="s">
        <v>32</v>
      </c>
      <c r="N204" t="s">
        <v>133</v>
      </c>
      <c r="O204" t="s">
        <v>46</v>
      </c>
    </row>
    <row r="205" spans="1:15" x14ac:dyDescent="0.3">
      <c r="A205">
        <v>1026</v>
      </c>
      <c r="B205" t="s">
        <v>488</v>
      </c>
      <c r="C205" t="s">
        <v>310</v>
      </c>
      <c r="D205" t="s">
        <v>48</v>
      </c>
      <c r="E205" t="s">
        <v>110</v>
      </c>
      <c r="F205" t="s">
        <v>165</v>
      </c>
      <c r="G205" t="s">
        <v>20</v>
      </c>
      <c r="H205" t="s">
        <v>106</v>
      </c>
      <c r="I205" t="s">
        <v>137</v>
      </c>
      <c r="J205" t="s">
        <v>30</v>
      </c>
      <c r="K205" t="s">
        <v>43</v>
      </c>
      <c r="L205" t="s">
        <v>43</v>
      </c>
      <c r="M205" t="s">
        <v>191</v>
      </c>
    </row>
    <row r="206" spans="1:15" x14ac:dyDescent="0.3">
      <c r="A206">
        <v>1017</v>
      </c>
      <c r="B206" t="s">
        <v>489</v>
      </c>
      <c r="C206" t="s">
        <v>454</v>
      </c>
      <c r="D206" t="s">
        <v>59</v>
      </c>
      <c r="E206" t="s">
        <v>72</v>
      </c>
      <c r="F206" t="s">
        <v>490</v>
      </c>
      <c r="G206" t="s">
        <v>354</v>
      </c>
      <c r="H206" t="s">
        <v>375</v>
      </c>
      <c r="I206" t="s">
        <v>99</v>
      </c>
      <c r="J206" t="s">
        <v>87</v>
      </c>
      <c r="K206" t="s">
        <v>43</v>
      </c>
      <c r="L206" t="s">
        <v>261</v>
      </c>
      <c r="M206" t="s">
        <v>191</v>
      </c>
      <c r="O206" t="s">
        <v>76</v>
      </c>
    </row>
    <row r="207" spans="1:15" x14ac:dyDescent="0.3">
      <c r="A207">
        <v>1176</v>
      </c>
      <c r="B207" t="s">
        <v>491</v>
      </c>
      <c r="C207" t="s">
        <v>292</v>
      </c>
      <c r="D207" t="s">
        <v>167</v>
      </c>
      <c r="G207" t="s">
        <v>299</v>
      </c>
      <c r="H207" t="s">
        <v>300</v>
      </c>
      <c r="I207" t="s">
        <v>355</v>
      </c>
      <c r="J207" t="s">
        <v>189</v>
      </c>
      <c r="K207" t="s">
        <v>87</v>
      </c>
      <c r="L207" t="s">
        <v>418</v>
      </c>
      <c r="M207" t="s">
        <v>68</v>
      </c>
      <c r="N207" t="s">
        <v>133</v>
      </c>
      <c r="O207" t="s">
        <v>46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A8198-8504-403F-9EE9-82FFD572C7C6}">
  <dimension ref="A1:W168"/>
  <sheetViews>
    <sheetView tabSelected="1" zoomScale="79" zoomScaleNormal="100" workbookViewId="0">
      <selection sqref="A1:S165"/>
    </sheetView>
  </sheetViews>
  <sheetFormatPr defaultRowHeight="14.4" x14ac:dyDescent="0.3"/>
  <cols>
    <col min="1" max="1" width="12.6640625" bestFit="1" customWidth="1"/>
    <col min="2" max="2" width="13.21875" bestFit="1" customWidth="1"/>
    <col min="3" max="4" width="11.21875" bestFit="1" customWidth="1"/>
    <col min="5" max="5" width="15.33203125" bestFit="1" customWidth="1"/>
    <col min="6" max="6" width="12.6640625" bestFit="1" customWidth="1"/>
    <col min="7" max="7" width="23.33203125" bestFit="1" customWidth="1"/>
    <col min="8" max="8" width="22.77734375" bestFit="1" customWidth="1"/>
    <col min="9" max="9" width="14.44140625" bestFit="1" customWidth="1"/>
    <col min="10" max="10" width="23.44140625" bestFit="1" customWidth="1"/>
    <col min="11" max="11" width="24.88671875" bestFit="1" customWidth="1"/>
    <col min="12" max="12" width="26" bestFit="1" customWidth="1"/>
    <col min="13" max="13" width="25.6640625" bestFit="1" customWidth="1"/>
    <col min="14" max="14" width="11.21875" bestFit="1" customWidth="1"/>
    <col min="15" max="15" width="12.88671875" bestFit="1" customWidth="1"/>
    <col min="16" max="16" width="13.21875" bestFit="1" customWidth="1"/>
    <col min="17" max="17" width="25.109375" bestFit="1" customWidth="1"/>
    <col min="18" max="18" width="19.88671875" bestFit="1" customWidth="1"/>
    <col min="19" max="19" width="22" bestFit="1" customWidth="1"/>
    <col min="20" max="20" width="9.109375" customWidth="1"/>
    <col min="21" max="21" width="11.5546875" customWidth="1"/>
    <col min="22" max="22" width="18.21875" customWidth="1"/>
    <col min="23" max="23" width="14.77734375" customWidth="1"/>
  </cols>
  <sheetData>
    <row r="1" spans="1:23" x14ac:dyDescent="0.3">
      <c r="A1" t="s">
        <v>0</v>
      </c>
      <c r="B1" t="s">
        <v>1</v>
      </c>
      <c r="C1" t="s">
        <v>492</v>
      </c>
      <c r="D1" t="s">
        <v>493</v>
      </c>
      <c r="E1" t="s">
        <v>494</v>
      </c>
      <c r="F1" t="s">
        <v>495</v>
      </c>
      <c r="G1" t="s">
        <v>2</v>
      </c>
      <c r="H1" t="s">
        <v>3</v>
      </c>
      <c r="I1" t="s">
        <v>4</v>
      </c>
      <c r="J1" t="s">
        <v>5</v>
      </c>
      <c r="K1" t="s">
        <v>6</v>
      </c>
      <c r="L1" t="s">
        <v>7</v>
      </c>
      <c r="M1" t="s">
        <v>8</v>
      </c>
      <c r="N1" t="s">
        <v>9</v>
      </c>
      <c r="O1" t="s">
        <v>10</v>
      </c>
      <c r="P1" t="s">
        <v>11</v>
      </c>
      <c r="Q1" t="s">
        <v>12</v>
      </c>
      <c r="R1" t="s">
        <v>13</v>
      </c>
      <c r="S1" t="s">
        <v>14</v>
      </c>
    </row>
    <row r="2" spans="1:23" ht="15" thickBot="1" x14ac:dyDescent="0.35">
      <c r="A2">
        <v>1127</v>
      </c>
      <c r="B2" s="1">
        <v>45303</v>
      </c>
      <c r="C2">
        <v>2024</v>
      </c>
      <c r="D2">
        <v>1</v>
      </c>
      <c r="E2" t="s">
        <v>498</v>
      </c>
      <c r="F2" t="s">
        <v>499</v>
      </c>
      <c r="G2" t="s">
        <v>517</v>
      </c>
      <c r="H2" t="s">
        <v>17</v>
      </c>
      <c r="I2" t="s">
        <v>25</v>
      </c>
      <c r="J2" t="s">
        <v>26</v>
      </c>
      <c r="K2" t="s">
        <v>518</v>
      </c>
      <c r="L2" t="s">
        <v>519</v>
      </c>
      <c r="M2" t="s">
        <v>520</v>
      </c>
      <c r="N2">
        <v>1</v>
      </c>
      <c r="O2">
        <v>5</v>
      </c>
      <c r="P2">
        <v>5</v>
      </c>
      <c r="Q2" t="s">
        <v>521</v>
      </c>
      <c r="R2" t="s">
        <v>133</v>
      </c>
      <c r="S2" t="s">
        <v>34</v>
      </c>
    </row>
    <row r="3" spans="1:23" ht="18" x14ac:dyDescent="0.35">
      <c r="A3">
        <v>1023</v>
      </c>
      <c r="B3" s="1">
        <v>45503</v>
      </c>
      <c r="C3">
        <v>2024</v>
      </c>
      <c r="D3">
        <v>3</v>
      </c>
      <c r="E3" t="s">
        <v>500</v>
      </c>
      <c r="F3" t="s">
        <v>501</v>
      </c>
      <c r="G3" t="s">
        <v>36</v>
      </c>
      <c r="H3" t="s">
        <v>522</v>
      </c>
      <c r="I3" t="s">
        <v>148</v>
      </c>
      <c r="J3" t="s">
        <v>523</v>
      </c>
      <c r="K3" t="s">
        <v>524</v>
      </c>
      <c r="L3" t="s">
        <v>525</v>
      </c>
      <c r="M3" t="s">
        <v>526</v>
      </c>
      <c r="N3">
        <v>2</v>
      </c>
      <c r="O3">
        <v>1</v>
      </c>
      <c r="P3">
        <v>2</v>
      </c>
      <c r="Q3" t="s">
        <v>527</v>
      </c>
      <c r="R3" t="s">
        <v>45</v>
      </c>
      <c r="S3" t="s">
        <v>121</v>
      </c>
      <c r="V3" s="18" t="s">
        <v>604</v>
      </c>
      <c r="W3" s="19">
        <f>COUNTA(hazop_risk_analysis_cleaned[[#Headers],[HAZOP_ID]:[Status]])</f>
        <v>19</v>
      </c>
    </row>
    <row r="4" spans="1:23" ht="18" x14ac:dyDescent="0.35">
      <c r="A4">
        <v>1012</v>
      </c>
      <c r="B4" s="1">
        <v>45470</v>
      </c>
      <c r="C4">
        <v>2024</v>
      </c>
      <c r="D4">
        <v>2</v>
      </c>
      <c r="E4" t="s">
        <v>502</v>
      </c>
      <c r="F4" t="s">
        <v>503</v>
      </c>
      <c r="G4" t="s">
        <v>504</v>
      </c>
      <c r="H4" t="s">
        <v>48</v>
      </c>
      <c r="I4" t="s">
        <v>49</v>
      </c>
      <c r="J4" t="s">
        <v>50</v>
      </c>
      <c r="K4" t="s">
        <v>528</v>
      </c>
      <c r="L4" t="s">
        <v>529</v>
      </c>
      <c r="M4" t="s">
        <v>530</v>
      </c>
      <c r="N4">
        <v>3</v>
      </c>
      <c r="O4">
        <v>1</v>
      </c>
      <c r="P4">
        <v>3</v>
      </c>
      <c r="Q4" t="s">
        <v>531</v>
      </c>
      <c r="R4" t="s">
        <v>45</v>
      </c>
      <c r="S4" t="s">
        <v>56</v>
      </c>
      <c r="V4" s="20"/>
      <c r="W4" s="21"/>
    </row>
    <row r="5" spans="1:23" ht="18.600000000000001" thickBot="1" x14ac:dyDescent="0.4">
      <c r="A5">
        <v>1157</v>
      </c>
      <c r="B5" s="1">
        <v>45221</v>
      </c>
      <c r="C5">
        <v>2023</v>
      </c>
      <c r="D5">
        <v>4</v>
      </c>
      <c r="E5" t="s">
        <v>505</v>
      </c>
      <c r="F5" t="s">
        <v>506</v>
      </c>
      <c r="G5" t="s">
        <v>58</v>
      </c>
      <c r="H5" t="s">
        <v>102</v>
      </c>
      <c r="I5" t="s">
        <v>60</v>
      </c>
      <c r="J5" t="s">
        <v>61</v>
      </c>
      <c r="K5" t="s">
        <v>532</v>
      </c>
      <c r="L5" t="s">
        <v>533</v>
      </c>
      <c r="M5" t="s">
        <v>534</v>
      </c>
      <c r="N5">
        <v>1</v>
      </c>
      <c r="O5">
        <v>1</v>
      </c>
      <c r="P5">
        <v>1</v>
      </c>
      <c r="Q5" t="s">
        <v>535</v>
      </c>
      <c r="R5" t="s">
        <v>69</v>
      </c>
      <c r="S5" t="s">
        <v>56</v>
      </c>
      <c r="V5" s="22" t="s">
        <v>605</v>
      </c>
      <c r="W5" s="23">
        <f>COUNTA(hazop_risk_analysis_cleaned[Study Date])</f>
        <v>164</v>
      </c>
    </row>
    <row r="6" spans="1:23" x14ac:dyDescent="0.3">
      <c r="A6">
        <v>1003</v>
      </c>
      <c r="B6" s="1">
        <v>44933</v>
      </c>
      <c r="C6">
        <v>2023</v>
      </c>
      <c r="D6">
        <v>1</v>
      </c>
      <c r="E6" t="s">
        <v>498</v>
      </c>
      <c r="F6" t="s">
        <v>497</v>
      </c>
      <c r="G6" t="s">
        <v>517</v>
      </c>
      <c r="H6" t="s">
        <v>48</v>
      </c>
      <c r="I6" t="s">
        <v>72</v>
      </c>
      <c r="J6" t="s">
        <v>73</v>
      </c>
      <c r="K6" t="s">
        <v>536</v>
      </c>
      <c r="L6" t="s">
        <v>537</v>
      </c>
      <c r="M6" t="s">
        <v>530</v>
      </c>
      <c r="N6">
        <v>1</v>
      </c>
      <c r="Q6" t="s">
        <v>538</v>
      </c>
      <c r="R6" t="s">
        <v>45</v>
      </c>
      <c r="S6" t="s">
        <v>76</v>
      </c>
    </row>
    <row r="7" spans="1:23" ht="15" thickBot="1" x14ac:dyDescent="0.35">
      <c r="A7">
        <v>1026</v>
      </c>
      <c r="B7" s="1">
        <v>45454</v>
      </c>
      <c r="C7">
        <v>2024</v>
      </c>
      <c r="D7">
        <v>2</v>
      </c>
      <c r="E7" t="s">
        <v>502</v>
      </c>
      <c r="F7" t="s">
        <v>501</v>
      </c>
      <c r="G7" t="s">
        <v>78</v>
      </c>
      <c r="H7" t="s">
        <v>17</v>
      </c>
      <c r="I7" t="s">
        <v>72</v>
      </c>
      <c r="J7" t="s">
        <v>79</v>
      </c>
      <c r="K7" t="s">
        <v>528</v>
      </c>
      <c r="L7" t="s">
        <v>533</v>
      </c>
      <c r="M7" t="s">
        <v>80</v>
      </c>
      <c r="N7">
        <v>1</v>
      </c>
      <c r="O7">
        <v>5</v>
      </c>
      <c r="P7">
        <v>5</v>
      </c>
      <c r="Q7" t="s">
        <v>535</v>
      </c>
      <c r="R7" t="s">
        <v>133</v>
      </c>
      <c r="S7" t="s">
        <v>34</v>
      </c>
    </row>
    <row r="8" spans="1:23" ht="16.2" thickBot="1" x14ac:dyDescent="0.35">
      <c r="A8">
        <v>1098</v>
      </c>
      <c r="B8" s="1">
        <v>45112</v>
      </c>
      <c r="C8">
        <v>2023</v>
      </c>
      <c r="D8">
        <v>3</v>
      </c>
      <c r="E8" t="s">
        <v>500</v>
      </c>
      <c r="F8" t="s">
        <v>507</v>
      </c>
      <c r="G8" t="s">
        <v>83</v>
      </c>
      <c r="H8" t="s">
        <v>102</v>
      </c>
      <c r="I8" t="s">
        <v>25</v>
      </c>
      <c r="J8" t="s">
        <v>84</v>
      </c>
      <c r="K8" t="s">
        <v>528</v>
      </c>
      <c r="L8" t="s">
        <v>519</v>
      </c>
      <c r="M8" t="s">
        <v>80</v>
      </c>
      <c r="N8">
        <v>5</v>
      </c>
      <c r="O8">
        <v>5</v>
      </c>
      <c r="P8">
        <v>25</v>
      </c>
      <c r="Q8" t="s">
        <v>538</v>
      </c>
      <c r="R8" t="s">
        <v>45</v>
      </c>
      <c r="S8" t="s">
        <v>121</v>
      </c>
      <c r="V8" s="39" t="s">
        <v>615</v>
      </c>
      <c r="W8" s="40">
        <f>MAX(hazop_risk_analysis_cleaned[Study Date])</f>
        <v>45627</v>
      </c>
    </row>
    <row r="9" spans="1:23" x14ac:dyDescent="0.3">
      <c r="A9">
        <v>1067</v>
      </c>
      <c r="B9" s="1">
        <v>45572</v>
      </c>
      <c r="C9">
        <v>2024</v>
      </c>
      <c r="D9">
        <v>4</v>
      </c>
      <c r="E9" t="s">
        <v>505</v>
      </c>
      <c r="F9" t="s">
        <v>508</v>
      </c>
      <c r="G9" t="s">
        <v>90</v>
      </c>
      <c r="H9" t="s">
        <v>91</v>
      </c>
      <c r="I9" t="s">
        <v>72</v>
      </c>
      <c r="J9" t="s">
        <v>92</v>
      </c>
      <c r="K9" t="s">
        <v>524</v>
      </c>
      <c r="L9" t="s">
        <v>529</v>
      </c>
      <c r="M9" t="s">
        <v>539</v>
      </c>
      <c r="N9">
        <v>1</v>
      </c>
      <c r="O9">
        <v>1</v>
      </c>
      <c r="P9">
        <v>1</v>
      </c>
      <c r="Q9" t="s">
        <v>527</v>
      </c>
      <c r="R9" t="s">
        <v>45</v>
      </c>
      <c r="S9" t="s">
        <v>121</v>
      </c>
    </row>
    <row r="10" spans="1:23" x14ac:dyDescent="0.3">
      <c r="A10">
        <v>1064</v>
      </c>
      <c r="B10" s="1">
        <v>45430</v>
      </c>
      <c r="C10">
        <v>2024</v>
      </c>
      <c r="D10">
        <v>2</v>
      </c>
      <c r="E10" t="s">
        <v>509</v>
      </c>
      <c r="F10" t="s">
        <v>497</v>
      </c>
      <c r="G10" t="s">
        <v>114</v>
      </c>
      <c r="H10" t="s">
        <v>48</v>
      </c>
      <c r="I10" t="s">
        <v>25</v>
      </c>
      <c r="J10" t="s">
        <v>97</v>
      </c>
      <c r="K10" t="s">
        <v>518</v>
      </c>
      <c r="L10" t="s">
        <v>540</v>
      </c>
      <c r="M10" t="s">
        <v>80</v>
      </c>
      <c r="N10">
        <v>3</v>
      </c>
      <c r="Q10" t="s">
        <v>538</v>
      </c>
      <c r="R10" t="s">
        <v>45</v>
      </c>
      <c r="S10" t="s">
        <v>34</v>
      </c>
    </row>
    <row r="11" spans="1:23" x14ac:dyDescent="0.3">
      <c r="A11">
        <v>1079</v>
      </c>
      <c r="B11" s="1">
        <v>45601</v>
      </c>
      <c r="C11">
        <v>2024</v>
      </c>
      <c r="D11">
        <v>4</v>
      </c>
      <c r="E11" t="s">
        <v>496</v>
      </c>
      <c r="F11" t="s">
        <v>501</v>
      </c>
      <c r="G11" t="s">
        <v>541</v>
      </c>
      <c r="H11" t="s">
        <v>102</v>
      </c>
      <c r="I11" t="s">
        <v>103</v>
      </c>
      <c r="J11" t="s">
        <v>104</v>
      </c>
      <c r="K11" t="s">
        <v>542</v>
      </c>
      <c r="L11" t="s">
        <v>543</v>
      </c>
      <c r="M11" t="s">
        <v>544</v>
      </c>
      <c r="N11">
        <v>5</v>
      </c>
      <c r="O11">
        <v>1</v>
      </c>
      <c r="P11">
        <v>5</v>
      </c>
      <c r="Q11" t="s">
        <v>521</v>
      </c>
      <c r="R11" t="s">
        <v>133</v>
      </c>
      <c r="S11" t="s">
        <v>121</v>
      </c>
    </row>
    <row r="12" spans="1:23" x14ac:dyDescent="0.3">
      <c r="A12">
        <v>1100</v>
      </c>
      <c r="B12" s="1">
        <v>45379</v>
      </c>
      <c r="C12">
        <v>2024</v>
      </c>
      <c r="D12">
        <v>1</v>
      </c>
      <c r="E12" t="s">
        <v>510</v>
      </c>
      <c r="F12" t="s">
        <v>503</v>
      </c>
      <c r="G12" t="s">
        <v>541</v>
      </c>
      <c r="H12" t="s">
        <v>109</v>
      </c>
      <c r="I12" t="s">
        <v>148</v>
      </c>
      <c r="J12" t="s">
        <v>220</v>
      </c>
      <c r="K12" t="s">
        <v>524</v>
      </c>
      <c r="L12" t="s">
        <v>529</v>
      </c>
      <c r="M12" t="s">
        <v>530</v>
      </c>
      <c r="O12">
        <v>3</v>
      </c>
      <c r="Q12" t="s">
        <v>527</v>
      </c>
      <c r="R12" t="s">
        <v>45</v>
      </c>
      <c r="S12" t="s">
        <v>34</v>
      </c>
    </row>
    <row r="13" spans="1:23" x14ac:dyDescent="0.3">
      <c r="A13">
        <v>1109</v>
      </c>
      <c r="B13" s="1">
        <v>45494</v>
      </c>
      <c r="C13">
        <v>2024</v>
      </c>
      <c r="D13">
        <v>3</v>
      </c>
      <c r="E13" t="s">
        <v>500</v>
      </c>
      <c r="F13" t="s">
        <v>506</v>
      </c>
      <c r="G13" t="s">
        <v>114</v>
      </c>
      <c r="H13" t="s">
        <v>511</v>
      </c>
      <c r="I13" t="s">
        <v>115</v>
      </c>
      <c r="J13" t="s">
        <v>531</v>
      </c>
      <c r="K13" t="s">
        <v>545</v>
      </c>
      <c r="L13" t="s">
        <v>540</v>
      </c>
      <c r="M13" t="s">
        <v>546</v>
      </c>
      <c r="N13">
        <v>5</v>
      </c>
      <c r="O13">
        <v>3</v>
      </c>
      <c r="P13">
        <v>15</v>
      </c>
      <c r="Q13" t="s">
        <v>521</v>
      </c>
      <c r="R13" t="s">
        <v>69</v>
      </c>
      <c r="S13" t="s">
        <v>121</v>
      </c>
    </row>
    <row r="14" spans="1:23" x14ac:dyDescent="0.3">
      <c r="A14">
        <v>1066</v>
      </c>
      <c r="B14" s="1">
        <v>45119</v>
      </c>
      <c r="C14">
        <v>2023</v>
      </c>
      <c r="D14">
        <v>3</v>
      </c>
      <c r="E14" t="s">
        <v>500</v>
      </c>
      <c r="F14" t="s">
        <v>507</v>
      </c>
      <c r="G14" t="s">
        <v>123</v>
      </c>
      <c r="H14" t="s">
        <v>511</v>
      </c>
      <c r="I14" t="s">
        <v>148</v>
      </c>
      <c r="J14" t="s">
        <v>531</v>
      </c>
      <c r="K14" t="s">
        <v>547</v>
      </c>
      <c r="L14" t="s">
        <v>543</v>
      </c>
      <c r="M14" t="s">
        <v>520</v>
      </c>
      <c r="N14">
        <v>5</v>
      </c>
      <c r="O14">
        <v>1</v>
      </c>
      <c r="P14">
        <v>5</v>
      </c>
      <c r="Q14" t="s">
        <v>538</v>
      </c>
      <c r="R14" t="s">
        <v>45</v>
      </c>
      <c r="S14" t="s">
        <v>34</v>
      </c>
    </row>
    <row r="15" spans="1:23" x14ac:dyDescent="0.3">
      <c r="A15">
        <v>1154</v>
      </c>
      <c r="B15" s="1">
        <v>45331</v>
      </c>
      <c r="C15">
        <v>2024</v>
      </c>
      <c r="D15">
        <v>1</v>
      </c>
      <c r="E15" t="s">
        <v>512</v>
      </c>
      <c r="F15" t="s">
        <v>499</v>
      </c>
      <c r="G15" t="s">
        <v>170</v>
      </c>
      <c r="H15" t="s">
        <v>109</v>
      </c>
      <c r="I15" t="s">
        <v>60</v>
      </c>
      <c r="J15" t="s">
        <v>548</v>
      </c>
      <c r="K15" t="s">
        <v>549</v>
      </c>
      <c r="L15" t="s">
        <v>550</v>
      </c>
      <c r="M15" t="s">
        <v>534</v>
      </c>
      <c r="N15">
        <v>5</v>
      </c>
      <c r="O15">
        <v>3</v>
      </c>
      <c r="P15">
        <v>15</v>
      </c>
      <c r="Q15" t="s">
        <v>527</v>
      </c>
      <c r="R15" t="s">
        <v>133</v>
      </c>
      <c r="S15" t="s">
        <v>34</v>
      </c>
    </row>
    <row r="16" spans="1:23" x14ac:dyDescent="0.3">
      <c r="A16">
        <v>1161</v>
      </c>
      <c r="B16" s="1">
        <v>45269</v>
      </c>
      <c r="C16">
        <v>2023</v>
      </c>
      <c r="D16">
        <v>4</v>
      </c>
      <c r="E16" t="s">
        <v>513</v>
      </c>
      <c r="F16" t="s">
        <v>497</v>
      </c>
      <c r="G16" t="s">
        <v>541</v>
      </c>
      <c r="H16" t="s">
        <v>135</v>
      </c>
      <c r="I16" t="s">
        <v>148</v>
      </c>
      <c r="J16" t="s">
        <v>377</v>
      </c>
      <c r="K16" t="s">
        <v>547</v>
      </c>
      <c r="L16" t="s">
        <v>533</v>
      </c>
      <c r="M16" t="s">
        <v>551</v>
      </c>
      <c r="N16">
        <v>3</v>
      </c>
      <c r="O16">
        <v>3</v>
      </c>
      <c r="P16">
        <v>9</v>
      </c>
      <c r="Q16" t="s">
        <v>527</v>
      </c>
      <c r="R16" t="s">
        <v>133</v>
      </c>
      <c r="S16" t="s">
        <v>56</v>
      </c>
    </row>
    <row r="17" spans="1:19" x14ac:dyDescent="0.3">
      <c r="A17">
        <v>1025</v>
      </c>
      <c r="B17" s="1">
        <v>45215</v>
      </c>
      <c r="C17">
        <v>2023</v>
      </c>
      <c r="D17">
        <v>4</v>
      </c>
      <c r="E17" t="s">
        <v>505</v>
      </c>
      <c r="F17" t="s">
        <v>508</v>
      </c>
      <c r="G17" t="s">
        <v>213</v>
      </c>
      <c r="H17" t="s">
        <v>48</v>
      </c>
      <c r="I17" t="s">
        <v>148</v>
      </c>
      <c r="J17" t="s">
        <v>552</v>
      </c>
      <c r="K17" t="s">
        <v>553</v>
      </c>
      <c r="L17" t="s">
        <v>543</v>
      </c>
      <c r="M17" t="s">
        <v>551</v>
      </c>
      <c r="N17">
        <v>2</v>
      </c>
      <c r="O17">
        <v>1</v>
      </c>
      <c r="P17">
        <v>2</v>
      </c>
      <c r="Q17" t="s">
        <v>554</v>
      </c>
      <c r="R17" t="s">
        <v>133</v>
      </c>
      <c r="S17" t="s">
        <v>34</v>
      </c>
    </row>
    <row r="18" spans="1:19" x14ac:dyDescent="0.3">
      <c r="A18">
        <v>1159</v>
      </c>
      <c r="B18" s="1">
        <v>45583</v>
      </c>
      <c r="C18">
        <v>2024</v>
      </c>
      <c r="D18">
        <v>4</v>
      </c>
      <c r="E18" t="s">
        <v>505</v>
      </c>
      <c r="F18" t="s">
        <v>499</v>
      </c>
      <c r="G18" t="s">
        <v>147</v>
      </c>
      <c r="H18" t="s">
        <v>17</v>
      </c>
      <c r="I18" t="s">
        <v>148</v>
      </c>
      <c r="J18" t="s">
        <v>149</v>
      </c>
      <c r="K18" t="s">
        <v>542</v>
      </c>
      <c r="L18" t="s">
        <v>555</v>
      </c>
      <c r="M18" t="s">
        <v>520</v>
      </c>
      <c r="N18">
        <v>2</v>
      </c>
      <c r="O18">
        <v>5</v>
      </c>
      <c r="P18">
        <v>10</v>
      </c>
      <c r="Q18" t="s">
        <v>531</v>
      </c>
      <c r="R18" t="s">
        <v>45</v>
      </c>
      <c r="S18" t="s">
        <v>56</v>
      </c>
    </row>
    <row r="19" spans="1:19" x14ac:dyDescent="0.3">
      <c r="A19">
        <v>1047</v>
      </c>
      <c r="B19" s="1">
        <v>44953</v>
      </c>
      <c r="C19">
        <v>2023</v>
      </c>
      <c r="D19">
        <v>1</v>
      </c>
      <c r="E19" t="s">
        <v>498</v>
      </c>
      <c r="F19" t="s">
        <v>499</v>
      </c>
      <c r="G19" t="s">
        <v>83</v>
      </c>
      <c r="H19" t="s">
        <v>102</v>
      </c>
      <c r="I19" t="s">
        <v>25</v>
      </c>
      <c r="J19" t="s">
        <v>84</v>
      </c>
      <c r="K19" t="s">
        <v>547</v>
      </c>
      <c r="L19" t="s">
        <v>550</v>
      </c>
      <c r="M19" t="s">
        <v>526</v>
      </c>
      <c r="N19">
        <v>3</v>
      </c>
      <c r="O19">
        <v>5</v>
      </c>
      <c r="P19">
        <v>15</v>
      </c>
      <c r="Q19" t="s">
        <v>538</v>
      </c>
      <c r="R19" t="s">
        <v>69</v>
      </c>
      <c r="S19" t="s">
        <v>121</v>
      </c>
    </row>
    <row r="20" spans="1:19" x14ac:dyDescent="0.3">
      <c r="A20">
        <v>1005</v>
      </c>
      <c r="B20" s="1">
        <v>45011</v>
      </c>
      <c r="C20">
        <v>2023</v>
      </c>
      <c r="D20">
        <v>1</v>
      </c>
      <c r="E20" t="s">
        <v>510</v>
      </c>
      <c r="F20" t="s">
        <v>506</v>
      </c>
      <c r="G20" t="s">
        <v>517</v>
      </c>
      <c r="H20" t="s">
        <v>102</v>
      </c>
      <c r="I20" t="s">
        <v>148</v>
      </c>
      <c r="J20" t="s">
        <v>195</v>
      </c>
      <c r="K20" t="s">
        <v>518</v>
      </c>
      <c r="L20" t="s">
        <v>556</v>
      </c>
      <c r="M20" t="s">
        <v>534</v>
      </c>
      <c r="N20">
        <v>1</v>
      </c>
      <c r="O20">
        <v>1</v>
      </c>
      <c r="P20">
        <v>1</v>
      </c>
      <c r="Q20" t="s">
        <v>554</v>
      </c>
      <c r="R20" t="s">
        <v>45</v>
      </c>
      <c r="S20" t="s">
        <v>121</v>
      </c>
    </row>
    <row r="21" spans="1:19" x14ac:dyDescent="0.3">
      <c r="A21">
        <v>1018</v>
      </c>
      <c r="B21" s="1">
        <v>45417</v>
      </c>
      <c r="C21">
        <v>2024</v>
      </c>
      <c r="D21">
        <v>2</v>
      </c>
      <c r="E21" t="s">
        <v>509</v>
      </c>
      <c r="F21" t="s">
        <v>506</v>
      </c>
      <c r="G21" t="s">
        <v>517</v>
      </c>
      <c r="H21" t="s">
        <v>522</v>
      </c>
      <c r="I21" t="s">
        <v>159</v>
      </c>
      <c r="J21" t="s">
        <v>557</v>
      </c>
      <c r="K21" t="s">
        <v>532</v>
      </c>
      <c r="L21" t="s">
        <v>550</v>
      </c>
      <c r="M21" t="s">
        <v>558</v>
      </c>
      <c r="N21">
        <v>2</v>
      </c>
      <c r="O21">
        <v>1</v>
      </c>
      <c r="P21">
        <v>2</v>
      </c>
      <c r="Q21" t="s">
        <v>554</v>
      </c>
      <c r="R21" t="s">
        <v>45</v>
      </c>
      <c r="S21" t="s">
        <v>34</v>
      </c>
    </row>
    <row r="22" spans="1:19" x14ac:dyDescent="0.3">
      <c r="A22">
        <v>1147</v>
      </c>
      <c r="B22" s="1">
        <v>45268</v>
      </c>
      <c r="C22">
        <v>2023</v>
      </c>
      <c r="D22">
        <v>4</v>
      </c>
      <c r="E22" t="s">
        <v>513</v>
      </c>
      <c r="F22" t="s">
        <v>499</v>
      </c>
      <c r="G22" t="s">
        <v>147</v>
      </c>
      <c r="H22" t="s">
        <v>17</v>
      </c>
      <c r="I22" t="s">
        <v>148</v>
      </c>
      <c r="J22" t="s">
        <v>149</v>
      </c>
      <c r="K22" t="s">
        <v>559</v>
      </c>
      <c r="L22" t="s">
        <v>555</v>
      </c>
      <c r="M22" t="s">
        <v>526</v>
      </c>
      <c r="N22">
        <v>1</v>
      </c>
      <c r="O22">
        <v>1</v>
      </c>
      <c r="P22">
        <v>1</v>
      </c>
      <c r="Q22" t="s">
        <v>527</v>
      </c>
      <c r="R22" t="s">
        <v>69</v>
      </c>
      <c r="S22" t="s">
        <v>34</v>
      </c>
    </row>
    <row r="23" spans="1:19" x14ac:dyDescent="0.3">
      <c r="A23">
        <v>1075</v>
      </c>
      <c r="B23" s="1">
        <v>44996</v>
      </c>
      <c r="C23">
        <v>2023</v>
      </c>
      <c r="D23">
        <v>1</v>
      </c>
      <c r="E23" t="s">
        <v>510</v>
      </c>
      <c r="F23" t="s">
        <v>497</v>
      </c>
      <c r="G23" t="s">
        <v>310</v>
      </c>
      <c r="H23" t="s">
        <v>48</v>
      </c>
      <c r="I23" t="s">
        <v>148</v>
      </c>
      <c r="J23" t="s">
        <v>552</v>
      </c>
      <c r="K23" t="s">
        <v>528</v>
      </c>
      <c r="L23" t="s">
        <v>525</v>
      </c>
      <c r="M23" t="s">
        <v>530</v>
      </c>
      <c r="N23">
        <v>2</v>
      </c>
      <c r="O23">
        <v>1</v>
      </c>
      <c r="P23">
        <v>2</v>
      </c>
      <c r="Q23" t="s">
        <v>527</v>
      </c>
      <c r="R23" t="s">
        <v>133</v>
      </c>
      <c r="S23" t="s">
        <v>121</v>
      </c>
    </row>
    <row r="24" spans="1:19" x14ac:dyDescent="0.3">
      <c r="A24">
        <v>1013</v>
      </c>
      <c r="B24" s="1">
        <v>45201</v>
      </c>
      <c r="C24">
        <v>2023</v>
      </c>
      <c r="D24">
        <v>4</v>
      </c>
      <c r="E24" t="s">
        <v>505</v>
      </c>
      <c r="F24" t="s">
        <v>508</v>
      </c>
      <c r="G24" t="s">
        <v>170</v>
      </c>
      <c r="H24" t="s">
        <v>102</v>
      </c>
      <c r="I24" t="s">
        <v>148</v>
      </c>
      <c r="J24" t="s">
        <v>195</v>
      </c>
      <c r="K24" t="s">
        <v>547</v>
      </c>
      <c r="L24" t="s">
        <v>525</v>
      </c>
      <c r="M24" t="s">
        <v>558</v>
      </c>
      <c r="N24">
        <v>3</v>
      </c>
      <c r="O24">
        <v>3</v>
      </c>
      <c r="P24">
        <v>9</v>
      </c>
      <c r="Q24" t="s">
        <v>531</v>
      </c>
      <c r="R24" t="s">
        <v>133</v>
      </c>
      <c r="S24" t="s">
        <v>56</v>
      </c>
    </row>
    <row r="25" spans="1:19" x14ac:dyDescent="0.3">
      <c r="A25">
        <v>1133</v>
      </c>
      <c r="B25" s="1">
        <v>45429</v>
      </c>
      <c r="C25">
        <v>2024</v>
      </c>
      <c r="D25">
        <v>2</v>
      </c>
      <c r="E25" t="s">
        <v>509</v>
      </c>
      <c r="F25" t="s">
        <v>499</v>
      </c>
      <c r="G25" t="s">
        <v>170</v>
      </c>
      <c r="H25" t="s">
        <v>91</v>
      </c>
      <c r="I25" t="s">
        <v>60</v>
      </c>
      <c r="J25" t="s">
        <v>560</v>
      </c>
      <c r="K25" t="s">
        <v>547</v>
      </c>
      <c r="L25" t="s">
        <v>519</v>
      </c>
      <c r="M25" t="s">
        <v>520</v>
      </c>
      <c r="N25">
        <v>3</v>
      </c>
      <c r="O25">
        <v>5</v>
      </c>
      <c r="P25">
        <v>15</v>
      </c>
      <c r="Q25" t="s">
        <v>538</v>
      </c>
      <c r="R25" t="s">
        <v>561</v>
      </c>
      <c r="S25" t="s">
        <v>34</v>
      </c>
    </row>
    <row r="26" spans="1:19" x14ac:dyDescent="0.3">
      <c r="A26">
        <v>1095</v>
      </c>
      <c r="B26" s="1">
        <v>45014</v>
      </c>
      <c r="C26">
        <v>2023</v>
      </c>
      <c r="D26">
        <v>1</v>
      </c>
      <c r="E26" t="s">
        <v>510</v>
      </c>
      <c r="F26" t="s">
        <v>507</v>
      </c>
      <c r="G26" t="s">
        <v>517</v>
      </c>
      <c r="H26" t="s">
        <v>102</v>
      </c>
      <c r="I26" t="s">
        <v>531</v>
      </c>
      <c r="J26" t="s">
        <v>531</v>
      </c>
      <c r="K26" t="s">
        <v>531</v>
      </c>
      <c r="L26" t="s">
        <v>540</v>
      </c>
      <c r="M26" t="s">
        <v>526</v>
      </c>
      <c r="N26">
        <v>1</v>
      </c>
      <c r="O26">
        <v>2</v>
      </c>
      <c r="P26">
        <v>2</v>
      </c>
      <c r="Q26" t="s">
        <v>554</v>
      </c>
      <c r="R26" t="s">
        <v>45</v>
      </c>
      <c r="S26" t="s">
        <v>34</v>
      </c>
    </row>
    <row r="27" spans="1:19" x14ac:dyDescent="0.3">
      <c r="A27">
        <v>1117</v>
      </c>
      <c r="B27" s="1">
        <v>45355</v>
      </c>
      <c r="C27">
        <v>2024</v>
      </c>
      <c r="D27">
        <v>1</v>
      </c>
      <c r="E27" t="s">
        <v>510</v>
      </c>
      <c r="F27" t="s">
        <v>508</v>
      </c>
      <c r="G27" t="s">
        <v>213</v>
      </c>
      <c r="H27" t="s">
        <v>511</v>
      </c>
      <c r="I27" t="s">
        <v>148</v>
      </c>
      <c r="J27" t="s">
        <v>531</v>
      </c>
      <c r="K27" t="s">
        <v>542</v>
      </c>
      <c r="L27" t="s">
        <v>525</v>
      </c>
      <c r="M27" t="s">
        <v>544</v>
      </c>
      <c r="N27">
        <v>5</v>
      </c>
      <c r="O27">
        <v>3</v>
      </c>
      <c r="P27">
        <v>15</v>
      </c>
      <c r="Q27" t="s">
        <v>521</v>
      </c>
      <c r="R27" t="s">
        <v>133</v>
      </c>
      <c r="S27" t="s">
        <v>56</v>
      </c>
    </row>
    <row r="28" spans="1:19" x14ac:dyDescent="0.3">
      <c r="A28">
        <v>1004</v>
      </c>
      <c r="B28" s="1">
        <v>45158</v>
      </c>
      <c r="C28">
        <v>2023</v>
      </c>
      <c r="D28">
        <v>3</v>
      </c>
      <c r="E28" t="s">
        <v>514</v>
      </c>
      <c r="F28" t="s">
        <v>506</v>
      </c>
      <c r="G28" t="s">
        <v>36</v>
      </c>
      <c r="H28" t="s">
        <v>102</v>
      </c>
      <c r="I28" t="s">
        <v>115</v>
      </c>
      <c r="J28" t="s">
        <v>181</v>
      </c>
      <c r="K28" t="s">
        <v>562</v>
      </c>
      <c r="L28" t="s">
        <v>529</v>
      </c>
      <c r="M28" t="s">
        <v>534</v>
      </c>
      <c r="N28">
        <v>1</v>
      </c>
      <c r="Q28" t="s">
        <v>527</v>
      </c>
      <c r="R28" t="s">
        <v>133</v>
      </c>
      <c r="S28" t="s">
        <v>76</v>
      </c>
    </row>
    <row r="29" spans="1:19" x14ac:dyDescent="0.3">
      <c r="A29">
        <v>1058</v>
      </c>
      <c r="B29" s="1">
        <v>45316</v>
      </c>
      <c r="C29">
        <v>2024</v>
      </c>
      <c r="D29">
        <v>1</v>
      </c>
      <c r="E29" t="s">
        <v>498</v>
      </c>
      <c r="F29" t="s">
        <v>503</v>
      </c>
      <c r="G29" t="s">
        <v>114</v>
      </c>
      <c r="H29" t="s">
        <v>109</v>
      </c>
      <c r="I29" t="s">
        <v>103</v>
      </c>
      <c r="J29" t="s">
        <v>563</v>
      </c>
      <c r="K29" t="s">
        <v>547</v>
      </c>
      <c r="L29" t="s">
        <v>525</v>
      </c>
      <c r="M29" t="s">
        <v>546</v>
      </c>
      <c r="N29">
        <v>3</v>
      </c>
      <c r="O29">
        <v>4</v>
      </c>
      <c r="P29">
        <v>12</v>
      </c>
      <c r="Q29" t="s">
        <v>538</v>
      </c>
      <c r="R29" t="s">
        <v>69</v>
      </c>
      <c r="S29" t="s">
        <v>56</v>
      </c>
    </row>
    <row r="30" spans="1:19" x14ac:dyDescent="0.3">
      <c r="A30">
        <v>1110</v>
      </c>
      <c r="B30" s="1">
        <v>45103</v>
      </c>
      <c r="C30">
        <v>2023</v>
      </c>
      <c r="D30">
        <v>2</v>
      </c>
      <c r="E30" t="s">
        <v>502</v>
      </c>
      <c r="F30" t="s">
        <v>508</v>
      </c>
      <c r="G30" t="s">
        <v>90</v>
      </c>
      <c r="H30" t="s">
        <v>17</v>
      </c>
      <c r="I30" t="s">
        <v>49</v>
      </c>
      <c r="J30" t="s">
        <v>188</v>
      </c>
      <c r="K30" t="s">
        <v>524</v>
      </c>
      <c r="L30" t="s">
        <v>555</v>
      </c>
      <c r="M30" t="s">
        <v>546</v>
      </c>
      <c r="N30">
        <v>5</v>
      </c>
      <c r="O30">
        <v>2</v>
      </c>
      <c r="P30">
        <v>10</v>
      </c>
      <c r="Q30" t="s">
        <v>564</v>
      </c>
      <c r="R30" t="s">
        <v>133</v>
      </c>
      <c r="S30" t="s">
        <v>34</v>
      </c>
    </row>
    <row r="31" spans="1:19" x14ac:dyDescent="0.3">
      <c r="A31">
        <v>1167</v>
      </c>
      <c r="B31" s="1">
        <v>44997</v>
      </c>
      <c r="C31">
        <v>2023</v>
      </c>
      <c r="D31">
        <v>1</v>
      </c>
      <c r="E31" t="s">
        <v>510</v>
      </c>
      <c r="F31" t="s">
        <v>506</v>
      </c>
      <c r="G31" t="s">
        <v>310</v>
      </c>
      <c r="H31" t="s">
        <v>109</v>
      </c>
      <c r="I31" t="s">
        <v>25</v>
      </c>
      <c r="J31" t="s">
        <v>361</v>
      </c>
      <c r="K31" t="s">
        <v>536</v>
      </c>
      <c r="L31" t="s">
        <v>533</v>
      </c>
      <c r="M31" t="s">
        <v>526</v>
      </c>
      <c r="N31">
        <v>2</v>
      </c>
      <c r="O31">
        <v>1</v>
      </c>
      <c r="P31">
        <v>2</v>
      </c>
      <c r="Q31" t="s">
        <v>527</v>
      </c>
      <c r="R31" t="s">
        <v>133</v>
      </c>
      <c r="S31" t="s">
        <v>76</v>
      </c>
    </row>
    <row r="32" spans="1:19" x14ac:dyDescent="0.3">
      <c r="A32">
        <v>1019</v>
      </c>
      <c r="B32" s="1">
        <v>45014</v>
      </c>
      <c r="C32">
        <v>2023</v>
      </c>
      <c r="D32">
        <v>1</v>
      </c>
      <c r="E32" t="s">
        <v>510</v>
      </c>
      <c r="F32" t="s">
        <v>507</v>
      </c>
      <c r="G32" t="s">
        <v>90</v>
      </c>
      <c r="H32" t="s">
        <v>102</v>
      </c>
      <c r="I32" t="s">
        <v>115</v>
      </c>
      <c r="J32" t="s">
        <v>181</v>
      </c>
      <c r="K32" t="s">
        <v>518</v>
      </c>
      <c r="L32" t="s">
        <v>519</v>
      </c>
      <c r="M32" t="s">
        <v>80</v>
      </c>
      <c r="N32">
        <v>5</v>
      </c>
      <c r="Q32" t="s">
        <v>538</v>
      </c>
      <c r="R32" t="s">
        <v>69</v>
      </c>
      <c r="S32" t="s">
        <v>76</v>
      </c>
    </row>
    <row r="33" spans="1:19" x14ac:dyDescent="0.3">
      <c r="A33">
        <v>1130</v>
      </c>
      <c r="B33" s="1">
        <v>45073</v>
      </c>
      <c r="C33">
        <v>2023</v>
      </c>
      <c r="D33">
        <v>2</v>
      </c>
      <c r="E33" t="s">
        <v>509</v>
      </c>
      <c r="F33" t="s">
        <v>497</v>
      </c>
      <c r="G33" t="s">
        <v>114</v>
      </c>
      <c r="H33" t="s">
        <v>102</v>
      </c>
      <c r="I33" t="s">
        <v>148</v>
      </c>
      <c r="J33" t="s">
        <v>195</v>
      </c>
      <c r="K33" t="s">
        <v>528</v>
      </c>
      <c r="L33" t="s">
        <v>537</v>
      </c>
      <c r="M33" t="s">
        <v>80</v>
      </c>
      <c r="O33">
        <v>3</v>
      </c>
      <c r="Q33" t="s">
        <v>527</v>
      </c>
      <c r="R33" t="s">
        <v>133</v>
      </c>
      <c r="S33" t="s">
        <v>76</v>
      </c>
    </row>
    <row r="34" spans="1:19" x14ac:dyDescent="0.3">
      <c r="A34">
        <v>1010</v>
      </c>
      <c r="B34" s="1">
        <v>45493</v>
      </c>
      <c r="C34">
        <v>2024</v>
      </c>
      <c r="D34">
        <v>3</v>
      </c>
      <c r="E34" t="s">
        <v>500</v>
      </c>
      <c r="F34" t="s">
        <v>497</v>
      </c>
      <c r="G34" t="s">
        <v>170</v>
      </c>
      <c r="H34" t="s">
        <v>102</v>
      </c>
      <c r="I34" t="s">
        <v>159</v>
      </c>
      <c r="J34" t="s">
        <v>198</v>
      </c>
      <c r="K34" t="s">
        <v>562</v>
      </c>
      <c r="L34" t="s">
        <v>525</v>
      </c>
      <c r="M34" t="s">
        <v>80</v>
      </c>
      <c r="N34">
        <v>1</v>
      </c>
      <c r="O34">
        <v>1</v>
      </c>
      <c r="P34">
        <v>1</v>
      </c>
      <c r="Q34" t="s">
        <v>527</v>
      </c>
      <c r="R34" t="s">
        <v>45</v>
      </c>
      <c r="S34" t="s">
        <v>34</v>
      </c>
    </row>
    <row r="35" spans="1:19" x14ac:dyDescent="0.3">
      <c r="A35">
        <v>1083</v>
      </c>
      <c r="B35" s="1">
        <v>45053</v>
      </c>
      <c r="C35">
        <v>2023</v>
      </c>
      <c r="D35">
        <v>2</v>
      </c>
      <c r="E35" t="s">
        <v>509</v>
      </c>
      <c r="F35" t="s">
        <v>506</v>
      </c>
      <c r="G35" t="s">
        <v>123</v>
      </c>
      <c r="H35" t="s">
        <v>102</v>
      </c>
      <c r="I35" t="s">
        <v>531</v>
      </c>
      <c r="J35" t="s">
        <v>565</v>
      </c>
      <c r="K35" t="s">
        <v>553</v>
      </c>
      <c r="L35" t="s">
        <v>525</v>
      </c>
      <c r="M35" t="s">
        <v>546</v>
      </c>
      <c r="N35">
        <v>3</v>
      </c>
      <c r="O35">
        <v>1</v>
      </c>
      <c r="P35">
        <v>3</v>
      </c>
      <c r="Q35" t="s">
        <v>527</v>
      </c>
      <c r="R35" t="s">
        <v>561</v>
      </c>
      <c r="S35" t="s">
        <v>34</v>
      </c>
    </row>
    <row r="36" spans="1:19" x14ac:dyDescent="0.3">
      <c r="A36">
        <v>1121</v>
      </c>
      <c r="B36" s="1">
        <v>45222</v>
      </c>
      <c r="C36">
        <v>2023</v>
      </c>
      <c r="D36">
        <v>4</v>
      </c>
      <c r="E36" t="s">
        <v>505</v>
      </c>
      <c r="F36" t="s">
        <v>508</v>
      </c>
      <c r="G36" t="s">
        <v>58</v>
      </c>
      <c r="H36" t="s">
        <v>102</v>
      </c>
      <c r="I36" t="s">
        <v>60</v>
      </c>
      <c r="J36" t="s">
        <v>61</v>
      </c>
      <c r="K36" t="s">
        <v>545</v>
      </c>
      <c r="L36" t="s">
        <v>566</v>
      </c>
      <c r="M36" t="s">
        <v>80</v>
      </c>
      <c r="N36">
        <v>3</v>
      </c>
      <c r="O36">
        <v>1</v>
      </c>
      <c r="P36">
        <v>3</v>
      </c>
      <c r="Q36" t="s">
        <v>521</v>
      </c>
      <c r="R36" t="s">
        <v>45</v>
      </c>
      <c r="S36" t="s">
        <v>56</v>
      </c>
    </row>
    <row r="37" spans="1:19" x14ac:dyDescent="0.3">
      <c r="A37">
        <v>1140</v>
      </c>
      <c r="B37" s="1">
        <v>45001</v>
      </c>
      <c r="C37">
        <v>2023</v>
      </c>
      <c r="D37">
        <v>1</v>
      </c>
      <c r="E37" t="s">
        <v>510</v>
      </c>
      <c r="F37" t="s">
        <v>503</v>
      </c>
      <c r="G37" t="s">
        <v>213</v>
      </c>
      <c r="H37" t="s">
        <v>17</v>
      </c>
      <c r="I37" t="s">
        <v>25</v>
      </c>
      <c r="J37" t="s">
        <v>26</v>
      </c>
      <c r="K37" t="s">
        <v>547</v>
      </c>
      <c r="L37" t="s">
        <v>567</v>
      </c>
      <c r="M37" t="s">
        <v>526</v>
      </c>
      <c r="O37">
        <v>3</v>
      </c>
      <c r="Q37" t="s">
        <v>527</v>
      </c>
      <c r="R37" t="s">
        <v>69</v>
      </c>
      <c r="S37" t="s">
        <v>121</v>
      </c>
    </row>
    <row r="38" spans="1:19" x14ac:dyDescent="0.3">
      <c r="A38">
        <v>1129</v>
      </c>
      <c r="B38" s="1">
        <v>45286</v>
      </c>
      <c r="C38">
        <v>2023</v>
      </c>
      <c r="D38">
        <v>4</v>
      </c>
      <c r="E38" t="s">
        <v>513</v>
      </c>
      <c r="F38" t="s">
        <v>501</v>
      </c>
      <c r="G38" t="s">
        <v>310</v>
      </c>
      <c r="H38" t="s">
        <v>48</v>
      </c>
      <c r="I38" t="s">
        <v>103</v>
      </c>
      <c r="J38" t="s">
        <v>143</v>
      </c>
      <c r="K38" t="s">
        <v>547</v>
      </c>
      <c r="L38" t="s">
        <v>525</v>
      </c>
      <c r="M38" t="s">
        <v>80</v>
      </c>
      <c r="N38">
        <v>3</v>
      </c>
      <c r="O38">
        <v>3</v>
      </c>
      <c r="P38">
        <v>9</v>
      </c>
      <c r="Q38" t="s">
        <v>538</v>
      </c>
      <c r="R38" t="s">
        <v>45</v>
      </c>
      <c r="S38" t="s">
        <v>76</v>
      </c>
    </row>
    <row r="39" spans="1:19" x14ac:dyDescent="0.3">
      <c r="A39">
        <v>1061</v>
      </c>
      <c r="B39" s="1">
        <v>45072</v>
      </c>
      <c r="C39">
        <v>2023</v>
      </c>
      <c r="D39">
        <v>2</v>
      </c>
      <c r="E39" t="s">
        <v>509</v>
      </c>
      <c r="F39" t="s">
        <v>499</v>
      </c>
      <c r="G39" t="s">
        <v>310</v>
      </c>
      <c r="H39" t="s">
        <v>91</v>
      </c>
      <c r="I39" t="s">
        <v>148</v>
      </c>
      <c r="J39" t="s">
        <v>290</v>
      </c>
      <c r="K39" t="s">
        <v>549</v>
      </c>
      <c r="L39" t="s">
        <v>556</v>
      </c>
      <c r="M39" t="s">
        <v>546</v>
      </c>
      <c r="O39">
        <v>3</v>
      </c>
      <c r="Q39" t="s">
        <v>531</v>
      </c>
      <c r="R39" t="s">
        <v>133</v>
      </c>
      <c r="S39" t="s">
        <v>56</v>
      </c>
    </row>
    <row r="40" spans="1:19" x14ac:dyDescent="0.3">
      <c r="A40">
        <v>1142</v>
      </c>
      <c r="B40" s="1">
        <v>45320</v>
      </c>
      <c r="C40">
        <v>2024</v>
      </c>
      <c r="D40">
        <v>1</v>
      </c>
      <c r="E40" t="s">
        <v>498</v>
      </c>
      <c r="F40" t="s">
        <v>508</v>
      </c>
      <c r="G40" t="s">
        <v>517</v>
      </c>
      <c r="H40" t="s">
        <v>109</v>
      </c>
      <c r="I40" t="s">
        <v>148</v>
      </c>
      <c r="J40" t="s">
        <v>220</v>
      </c>
      <c r="K40" t="s">
        <v>542</v>
      </c>
      <c r="L40" t="s">
        <v>540</v>
      </c>
      <c r="M40" t="s">
        <v>546</v>
      </c>
      <c r="N40">
        <v>2</v>
      </c>
      <c r="O40">
        <v>1</v>
      </c>
      <c r="P40">
        <v>2</v>
      </c>
      <c r="Q40" t="s">
        <v>527</v>
      </c>
      <c r="R40" t="s">
        <v>45</v>
      </c>
      <c r="S40" t="s">
        <v>121</v>
      </c>
    </row>
    <row r="41" spans="1:19" x14ac:dyDescent="0.3">
      <c r="A41">
        <v>1028</v>
      </c>
      <c r="B41" s="1">
        <v>44967</v>
      </c>
      <c r="C41">
        <v>2023</v>
      </c>
      <c r="D41">
        <v>1</v>
      </c>
      <c r="E41" t="s">
        <v>512</v>
      </c>
      <c r="F41" t="s">
        <v>499</v>
      </c>
      <c r="G41" t="s">
        <v>213</v>
      </c>
      <c r="H41" t="s">
        <v>102</v>
      </c>
      <c r="I41" t="s">
        <v>148</v>
      </c>
      <c r="J41" t="s">
        <v>195</v>
      </c>
      <c r="K41" t="s">
        <v>553</v>
      </c>
      <c r="L41" t="s">
        <v>529</v>
      </c>
      <c r="M41" t="s">
        <v>530</v>
      </c>
      <c r="N41">
        <v>5</v>
      </c>
      <c r="O41">
        <v>5</v>
      </c>
      <c r="P41">
        <v>25</v>
      </c>
      <c r="Q41" t="s">
        <v>554</v>
      </c>
      <c r="R41" t="s">
        <v>133</v>
      </c>
      <c r="S41" t="s">
        <v>121</v>
      </c>
    </row>
    <row r="42" spans="1:19" x14ac:dyDescent="0.3">
      <c r="A42">
        <v>1041</v>
      </c>
      <c r="B42" s="1">
        <v>45357</v>
      </c>
      <c r="C42">
        <v>2024</v>
      </c>
      <c r="D42">
        <v>1</v>
      </c>
      <c r="E42" t="s">
        <v>510</v>
      </c>
      <c r="F42" t="s">
        <v>507</v>
      </c>
      <c r="G42" t="s">
        <v>83</v>
      </c>
      <c r="H42" t="s">
        <v>102</v>
      </c>
      <c r="I42" t="s">
        <v>148</v>
      </c>
      <c r="J42" t="s">
        <v>195</v>
      </c>
      <c r="K42" t="s">
        <v>559</v>
      </c>
      <c r="L42" t="s">
        <v>566</v>
      </c>
      <c r="M42" t="s">
        <v>520</v>
      </c>
      <c r="N42">
        <v>1</v>
      </c>
      <c r="O42">
        <v>3</v>
      </c>
      <c r="P42">
        <v>3</v>
      </c>
      <c r="Q42" t="s">
        <v>538</v>
      </c>
      <c r="R42" t="s">
        <v>133</v>
      </c>
      <c r="S42" t="s">
        <v>34</v>
      </c>
    </row>
    <row r="43" spans="1:19" x14ac:dyDescent="0.3">
      <c r="A43">
        <v>1046</v>
      </c>
      <c r="B43" s="1">
        <v>45411</v>
      </c>
      <c r="C43">
        <v>2024</v>
      </c>
      <c r="D43">
        <v>2</v>
      </c>
      <c r="E43" t="s">
        <v>515</v>
      </c>
      <c r="F43" t="s">
        <v>508</v>
      </c>
      <c r="G43" t="s">
        <v>83</v>
      </c>
      <c r="H43" t="s">
        <v>109</v>
      </c>
      <c r="I43" t="s">
        <v>49</v>
      </c>
      <c r="J43" t="s">
        <v>226</v>
      </c>
      <c r="K43" t="s">
        <v>531</v>
      </c>
      <c r="L43" t="s">
        <v>525</v>
      </c>
      <c r="M43" t="s">
        <v>530</v>
      </c>
      <c r="N43">
        <v>3</v>
      </c>
      <c r="O43">
        <v>3</v>
      </c>
      <c r="P43">
        <v>9</v>
      </c>
      <c r="Q43" t="s">
        <v>564</v>
      </c>
      <c r="R43" t="s">
        <v>69</v>
      </c>
      <c r="S43" t="s">
        <v>56</v>
      </c>
    </row>
    <row r="44" spans="1:19" x14ac:dyDescent="0.3">
      <c r="A44">
        <v>1146</v>
      </c>
      <c r="B44" s="1">
        <v>45026</v>
      </c>
      <c r="C44">
        <v>2023</v>
      </c>
      <c r="D44">
        <v>2</v>
      </c>
      <c r="E44" t="s">
        <v>515</v>
      </c>
      <c r="F44" t="s">
        <v>508</v>
      </c>
      <c r="G44" t="s">
        <v>123</v>
      </c>
      <c r="H44" t="s">
        <v>48</v>
      </c>
      <c r="I44" t="s">
        <v>159</v>
      </c>
      <c r="J44" t="s">
        <v>229</v>
      </c>
      <c r="K44" t="s">
        <v>518</v>
      </c>
      <c r="L44" t="s">
        <v>533</v>
      </c>
      <c r="M44" t="s">
        <v>526</v>
      </c>
      <c r="N44">
        <v>3</v>
      </c>
      <c r="Q44" t="s">
        <v>535</v>
      </c>
      <c r="R44" t="s">
        <v>69</v>
      </c>
      <c r="S44" t="s">
        <v>76</v>
      </c>
    </row>
    <row r="45" spans="1:19" x14ac:dyDescent="0.3">
      <c r="A45">
        <v>1032</v>
      </c>
      <c r="B45" s="1">
        <v>45479</v>
      </c>
      <c r="C45">
        <v>2024</v>
      </c>
      <c r="D45">
        <v>3</v>
      </c>
      <c r="E45" t="s">
        <v>500</v>
      </c>
      <c r="F45" t="s">
        <v>497</v>
      </c>
      <c r="G45" t="s">
        <v>517</v>
      </c>
      <c r="H45" t="s">
        <v>511</v>
      </c>
      <c r="I45" t="s">
        <v>148</v>
      </c>
      <c r="J45" t="s">
        <v>531</v>
      </c>
      <c r="K45" t="s">
        <v>549</v>
      </c>
      <c r="L45" t="s">
        <v>529</v>
      </c>
      <c r="M45" t="s">
        <v>558</v>
      </c>
      <c r="N45">
        <v>5</v>
      </c>
      <c r="O45">
        <v>5</v>
      </c>
      <c r="P45">
        <v>25</v>
      </c>
      <c r="Q45" t="s">
        <v>538</v>
      </c>
      <c r="R45" t="s">
        <v>69</v>
      </c>
      <c r="S45" t="s">
        <v>121</v>
      </c>
    </row>
    <row r="46" spans="1:19" x14ac:dyDescent="0.3">
      <c r="A46">
        <v>1164</v>
      </c>
      <c r="B46" s="1">
        <v>45467</v>
      </c>
      <c r="C46">
        <v>2024</v>
      </c>
      <c r="D46">
        <v>2</v>
      </c>
      <c r="E46" t="s">
        <v>502</v>
      </c>
      <c r="F46" t="s">
        <v>508</v>
      </c>
      <c r="G46" t="s">
        <v>36</v>
      </c>
      <c r="H46" t="s">
        <v>511</v>
      </c>
      <c r="I46" t="s">
        <v>60</v>
      </c>
      <c r="J46" t="s">
        <v>565</v>
      </c>
      <c r="K46" t="s">
        <v>528</v>
      </c>
      <c r="L46" t="s">
        <v>555</v>
      </c>
      <c r="M46" t="s">
        <v>539</v>
      </c>
      <c r="N46">
        <v>3</v>
      </c>
      <c r="O46">
        <v>2</v>
      </c>
      <c r="P46">
        <v>6</v>
      </c>
      <c r="Q46" t="s">
        <v>535</v>
      </c>
      <c r="R46" t="s">
        <v>69</v>
      </c>
      <c r="S46" t="s">
        <v>121</v>
      </c>
    </row>
    <row r="47" spans="1:19" x14ac:dyDescent="0.3">
      <c r="A47">
        <v>1033</v>
      </c>
      <c r="B47" s="1">
        <v>45576</v>
      </c>
      <c r="C47">
        <v>2024</v>
      </c>
      <c r="D47">
        <v>4</v>
      </c>
      <c r="E47" t="s">
        <v>505</v>
      </c>
      <c r="F47" t="s">
        <v>499</v>
      </c>
      <c r="G47" t="s">
        <v>58</v>
      </c>
      <c r="H47" t="s">
        <v>522</v>
      </c>
      <c r="I47" t="s">
        <v>72</v>
      </c>
      <c r="J47" t="s">
        <v>568</v>
      </c>
      <c r="K47" t="s">
        <v>553</v>
      </c>
      <c r="L47" t="s">
        <v>566</v>
      </c>
      <c r="M47" t="s">
        <v>530</v>
      </c>
      <c r="O47">
        <v>5</v>
      </c>
      <c r="Q47" t="s">
        <v>527</v>
      </c>
      <c r="R47" t="s">
        <v>561</v>
      </c>
      <c r="S47" t="s">
        <v>34</v>
      </c>
    </row>
    <row r="48" spans="1:19" x14ac:dyDescent="0.3">
      <c r="A48">
        <v>1014</v>
      </c>
      <c r="B48" s="1">
        <v>45335</v>
      </c>
      <c r="C48">
        <v>2024</v>
      </c>
      <c r="D48">
        <v>1</v>
      </c>
      <c r="E48" t="s">
        <v>512</v>
      </c>
      <c r="F48" t="s">
        <v>501</v>
      </c>
      <c r="G48" t="s">
        <v>114</v>
      </c>
      <c r="H48" t="s">
        <v>522</v>
      </c>
      <c r="I48" t="s">
        <v>49</v>
      </c>
      <c r="J48" t="s">
        <v>569</v>
      </c>
      <c r="K48" t="s">
        <v>528</v>
      </c>
      <c r="L48" t="s">
        <v>537</v>
      </c>
      <c r="M48" t="s">
        <v>526</v>
      </c>
      <c r="N48">
        <v>5</v>
      </c>
      <c r="O48">
        <v>4</v>
      </c>
      <c r="P48">
        <v>20</v>
      </c>
      <c r="Q48" t="s">
        <v>538</v>
      </c>
      <c r="R48" t="s">
        <v>133</v>
      </c>
      <c r="S48" t="s">
        <v>56</v>
      </c>
    </row>
    <row r="49" spans="1:19" x14ac:dyDescent="0.3">
      <c r="A49">
        <v>1122</v>
      </c>
      <c r="B49" s="1">
        <v>45574</v>
      </c>
      <c r="C49">
        <v>2024</v>
      </c>
      <c r="D49">
        <v>4</v>
      </c>
      <c r="E49" t="s">
        <v>505</v>
      </c>
      <c r="F49" t="s">
        <v>507</v>
      </c>
      <c r="G49" t="s">
        <v>83</v>
      </c>
      <c r="H49" t="s">
        <v>109</v>
      </c>
      <c r="I49" t="s">
        <v>531</v>
      </c>
      <c r="J49" t="s">
        <v>565</v>
      </c>
      <c r="K49" t="s">
        <v>536</v>
      </c>
      <c r="L49" t="s">
        <v>525</v>
      </c>
      <c r="M49" t="s">
        <v>558</v>
      </c>
      <c r="N49">
        <v>1</v>
      </c>
      <c r="Q49" t="s">
        <v>538</v>
      </c>
      <c r="R49" t="s">
        <v>69</v>
      </c>
      <c r="S49" t="s">
        <v>34</v>
      </c>
    </row>
    <row r="50" spans="1:19" x14ac:dyDescent="0.3">
      <c r="A50">
        <v>1029</v>
      </c>
      <c r="B50" s="1">
        <v>45108</v>
      </c>
      <c r="C50">
        <v>2023</v>
      </c>
      <c r="D50">
        <v>3</v>
      </c>
      <c r="E50" t="s">
        <v>500</v>
      </c>
      <c r="F50" t="s">
        <v>497</v>
      </c>
      <c r="G50" t="s">
        <v>310</v>
      </c>
      <c r="H50" t="s">
        <v>91</v>
      </c>
      <c r="I50" t="s">
        <v>531</v>
      </c>
      <c r="J50" t="s">
        <v>531</v>
      </c>
      <c r="K50" t="s">
        <v>532</v>
      </c>
      <c r="L50" t="s">
        <v>540</v>
      </c>
      <c r="M50" t="s">
        <v>558</v>
      </c>
      <c r="N50">
        <v>4</v>
      </c>
      <c r="O50">
        <v>3</v>
      </c>
      <c r="P50">
        <v>12</v>
      </c>
      <c r="Q50" t="s">
        <v>535</v>
      </c>
      <c r="R50" t="s">
        <v>133</v>
      </c>
      <c r="S50" t="s">
        <v>121</v>
      </c>
    </row>
    <row r="51" spans="1:19" x14ac:dyDescent="0.3">
      <c r="A51">
        <v>1115</v>
      </c>
      <c r="B51" s="1">
        <v>45084</v>
      </c>
      <c r="C51">
        <v>2023</v>
      </c>
      <c r="D51">
        <v>2</v>
      </c>
      <c r="E51" t="s">
        <v>502</v>
      </c>
      <c r="F51" t="s">
        <v>507</v>
      </c>
      <c r="G51" t="s">
        <v>213</v>
      </c>
      <c r="H51" t="s">
        <v>511</v>
      </c>
      <c r="I51" t="s">
        <v>148</v>
      </c>
      <c r="J51" t="s">
        <v>531</v>
      </c>
      <c r="K51" t="s">
        <v>532</v>
      </c>
      <c r="L51" t="s">
        <v>519</v>
      </c>
      <c r="M51" t="s">
        <v>520</v>
      </c>
      <c r="N51">
        <v>3</v>
      </c>
      <c r="O51">
        <v>3</v>
      </c>
      <c r="P51">
        <v>9</v>
      </c>
      <c r="Q51" t="s">
        <v>538</v>
      </c>
      <c r="R51" t="s">
        <v>133</v>
      </c>
      <c r="S51" t="s">
        <v>34</v>
      </c>
    </row>
    <row r="52" spans="1:19" x14ac:dyDescent="0.3">
      <c r="A52">
        <v>1166</v>
      </c>
      <c r="B52" s="1">
        <v>45271</v>
      </c>
      <c r="C52">
        <v>2023</v>
      </c>
      <c r="D52">
        <v>4</v>
      </c>
      <c r="E52" t="s">
        <v>513</v>
      </c>
      <c r="F52" t="s">
        <v>508</v>
      </c>
      <c r="G52" t="s">
        <v>517</v>
      </c>
      <c r="H52" t="s">
        <v>109</v>
      </c>
      <c r="I52" t="s">
        <v>60</v>
      </c>
      <c r="J52" t="s">
        <v>548</v>
      </c>
      <c r="K52" t="s">
        <v>531</v>
      </c>
      <c r="L52" t="s">
        <v>537</v>
      </c>
      <c r="M52" t="s">
        <v>546</v>
      </c>
      <c r="N52">
        <v>1</v>
      </c>
      <c r="O52">
        <v>1</v>
      </c>
      <c r="P52">
        <v>1</v>
      </c>
      <c r="Q52" t="s">
        <v>538</v>
      </c>
      <c r="R52" t="s">
        <v>45</v>
      </c>
      <c r="S52" t="s">
        <v>76</v>
      </c>
    </row>
    <row r="53" spans="1:19" x14ac:dyDescent="0.3">
      <c r="A53">
        <v>1155</v>
      </c>
      <c r="B53" s="1">
        <v>45204</v>
      </c>
      <c r="C53">
        <v>2023</v>
      </c>
      <c r="D53">
        <v>4</v>
      </c>
      <c r="E53" t="s">
        <v>505</v>
      </c>
      <c r="F53" t="s">
        <v>503</v>
      </c>
      <c r="G53" t="s">
        <v>541</v>
      </c>
      <c r="H53" t="s">
        <v>91</v>
      </c>
      <c r="I53" t="s">
        <v>60</v>
      </c>
      <c r="J53" t="s">
        <v>560</v>
      </c>
      <c r="K53" t="s">
        <v>559</v>
      </c>
      <c r="L53" t="s">
        <v>550</v>
      </c>
      <c r="M53" t="s">
        <v>546</v>
      </c>
      <c r="N53">
        <v>4</v>
      </c>
      <c r="O53">
        <v>4</v>
      </c>
      <c r="P53">
        <v>16</v>
      </c>
      <c r="Q53" t="s">
        <v>535</v>
      </c>
      <c r="R53" t="s">
        <v>45</v>
      </c>
      <c r="S53" t="s">
        <v>56</v>
      </c>
    </row>
    <row r="54" spans="1:19" x14ac:dyDescent="0.3">
      <c r="A54">
        <v>1097</v>
      </c>
      <c r="B54" s="1">
        <v>45627</v>
      </c>
      <c r="C54">
        <v>2024</v>
      </c>
      <c r="D54">
        <v>4</v>
      </c>
      <c r="E54" t="s">
        <v>513</v>
      </c>
      <c r="F54" t="s">
        <v>506</v>
      </c>
      <c r="G54" t="s">
        <v>541</v>
      </c>
      <c r="H54" t="s">
        <v>511</v>
      </c>
      <c r="I54" t="s">
        <v>148</v>
      </c>
      <c r="J54" t="s">
        <v>565</v>
      </c>
      <c r="K54" t="s">
        <v>562</v>
      </c>
      <c r="L54" t="s">
        <v>566</v>
      </c>
      <c r="M54" t="s">
        <v>539</v>
      </c>
      <c r="N54">
        <v>2</v>
      </c>
      <c r="O54">
        <v>5</v>
      </c>
      <c r="P54">
        <v>10</v>
      </c>
      <c r="Q54" t="s">
        <v>554</v>
      </c>
      <c r="R54" t="s">
        <v>45</v>
      </c>
      <c r="S54" t="s">
        <v>34</v>
      </c>
    </row>
    <row r="55" spans="1:19" x14ac:dyDescent="0.3">
      <c r="A55">
        <v>1059</v>
      </c>
      <c r="B55" s="1">
        <v>45010</v>
      </c>
      <c r="C55">
        <v>2023</v>
      </c>
      <c r="D55">
        <v>1</v>
      </c>
      <c r="E55" t="s">
        <v>510</v>
      </c>
      <c r="F55" t="s">
        <v>497</v>
      </c>
      <c r="G55" t="s">
        <v>90</v>
      </c>
      <c r="H55" t="s">
        <v>91</v>
      </c>
      <c r="I55" t="s">
        <v>159</v>
      </c>
      <c r="J55" t="s">
        <v>196</v>
      </c>
      <c r="K55" t="s">
        <v>528</v>
      </c>
      <c r="L55" t="s">
        <v>519</v>
      </c>
      <c r="M55" t="s">
        <v>544</v>
      </c>
      <c r="N55">
        <v>4</v>
      </c>
      <c r="O55">
        <v>4</v>
      </c>
      <c r="P55">
        <v>16</v>
      </c>
      <c r="Q55" t="s">
        <v>527</v>
      </c>
      <c r="R55" t="s">
        <v>133</v>
      </c>
      <c r="S55" t="s">
        <v>570</v>
      </c>
    </row>
    <row r="56" spans="1:19" x14ac:dyDescent="0.3">
      <c r="A56">
        <v>1118</v>
      </c>
      <c r="B56" s="1">
        <v>45091</v>
      </c>
      <c r="C56">
        <v>2023</v>
      </c>
      <c r="D56">
        <v>2</v>
      </c>
      <c r="E56" t="s">
        <v>502</v>
      </c>
      <c r="F56" t="s">
        <v>507</v>
      </c>
      <c r="G56" t="s">
        <v>114</v>
      </c>
      <c r="H56" t="s">
        <v>522</v>
      </c>
      <c r="I56" t="s">
        <v>148</v>
      </c>
      <c r="J56" t="s">
        <v>523</v>
      </c>
      <c r="K56" t="s">
        <v>542</v>
      </c>
      <c r="L56" t="s">
        <v>566</v>
      </c>
      <c r="M56" t="s">
        <v>534</v>
      </c>
      <c r="N56">
        <v>2</v>
      </c>
      <c r="O56">
        <v>5</v>
      </c>
      <c r="P56">
        <v>10</v>
      </c>
      <c r="Q56" t="s">
        <v>535</v>
      </c>
      <c r="R56" t="s">
        <v>133</v>
      </c>
      <c r="S56" t="s">
        <v>34</v>
      </c>
    </row>
    <row r="57" spans="1:19" x14ac:dyDescent="0.3">
      <c r="A57">
        <v>1096</v>
      </c>
      <c r="B57" s="1">
        <v>44979</v>
      </c>
      <c r="C57">
        <v>2023</v>
      </c>
      <c r="D57">
        <v>1</v>
      </c>
      <c r="E57" t="s">
        <v>512</v>
      </c>
      <c r="F57" t="s">
        <v>507</v>
      </c>
      <c r="G57" t="s">
        <v>504</v>
      </c>
      <c r="H57" t="s">
        <v>109</v>
      </c>
      <c r="I57" t="s">
        <v>18</v>
      </c>
      <c r="J57" t="s">
        <v>571</v>
      </c>
      <c r="K57" t="s">
        <v>528</v>
      </c>
      <c r="L57" t="s">
        <v>556</v>
      </c>
      <c r="M57" t="s">
        <v>539</v>
      </c>
      <c r="O57">
        <v>3</v>
      </c>
      <c r="Q57" t="s">
        <v>535</v>
      </c>
      <c r="R57" t="s">
        <v>45</v>
      </c>
      <c r="S57" t="s">
        <v>570</v>
      </c>
    </row>
    <row r="58" spans="1:19" x14ac:dyDescent="0.3">
      <c r="A58">
        <v>1037</v>
      </c>
      <c r="B58" s="1">
        <v>44932</v>
      </c>
      <c r="C58">
        <v>2023</v>
      </c>
      <c r="D58">
        <v>1</v>
      </c>
      <c r="E58" t="s">
        <v>498</v>
      </c>
      <c r="F58" t="s">
        <v>499</v>
      </c>
      <c r="G58" t="s">
        <v>170</v>
      </c>
      <c r="H58" t="s">
        <v>135</v>
      </c>
      <c r="I58" t="s">
        <v>148</v>
      </c>
      <c r="J58" t="s">
        <v>377</v>
      </c>
      <c r="K58" t="s">
        <v>536</v>
      </c>
      <c r="L58" t="s">
        <v>533</v>
      </c>
      <c r="M58" t="s">
        <v>539</v>
      </c>
      <c r="N58">
        <v>3</v>
      </c>
      <c r="O58">
        <v>1</v>
      </c>
      <c r="P58">
        <v>3</v>
      </c>
      <c r="Q58" t="s">
        <v>521</v>
      </c>
      <c r="R58" t="s">
        <v>45</v>
      </c>
      <c r="S58" t="s">
        <v>121</v>
      </c>
    </row>
    <row r="59" spans="1:19" x14ac:dyDescent="0.3">
      <c r="A59">
        <v>1086</v>
      </c>
      <c r="B59" s="1">
        <v>45428</v>
      </c>
      <c r="C59">
        <v>2024</v>
      </c>
      <c r="D59">
        <v>2</v>
      </c>
      <c r="E59" t="s">
        <v>509</v>
      </c>
      <c r="F59" t="s">
        <v>503</v>
      </c>
      <c r="G59" t="s">
        <v>517</v>
      </c>
      <c r="H59" t="s">
        <v>109</v>
      </c>
      <c r="I59" t="s">
        <v>60</v>
      </c>
      <c r="J59" t="s">
        <v>548</v>
      </c>
      <c r="K59" t="s">
        <v>531</v>
      </c>
      <c r="L59" t="s">
        <v>540</v>
      </c>
      <c r="M59" t="s">
        <v>526</v>
      </c>
      <c r="N59">
        <v>3</v>
      </c>
      <c r="O59">
        <v>3</v>
      </c>
      <c r="P59">
        <v>9</v>
      </c>
      <c r="Q59" t="s">
        <v>521</v>
      </c>
      <c r="R59" t="s">
        <v>133</v>
      </c>
      <c r="S59" t="s">
        <v>121</v>
      </c>
    </row>
    <row r="60" spans="1:19" x14ac:dyDescent="0.3">
      <c r="A60">
        <v>1052</v>
      </c>
      <c r="B60" s="1">
        <v>45173</v>
      </c>
      <c r="C60">
        <v>2023</v>
      </c>
      <c r="D60">
        <v>3</v>
      </c>
      <c r="E60" t="s">
        <v>516</v>
      </c>
      <c r="F60" t="s">
        <v>508</v>
      </c>
      <c r="G60" t="s">
        <v>114</v>
      </c>
      <c r="H60" t="s">
        <v>17</v>
      </c>
      <c r="I60" t="s">
        <v>148</v>
      </c>
      <c r="J60" t="s">
        <v>149</v>
      </c>
      <c r="K60" t="s">
        <v>528</v>
      </c>
      <c r="L60" t="s">
        <v>529</v>
      </c>
      <c r="M60" t="s">
        <v>551</v>
      </c>
      <c r="N60">
        <v>3</v>
      </c>
      <c r="O60">
        <v>1</v>
      </c>
      <c r="P60">
        <v>3</v>
      </c>
      <c r="Q60" t="s">
        <v>535</v>
      </c>
      <c r="R60" t="s">
        <v>133</v>
      </c>
      <c r="S60" t="s">
        <v>121</v>
      </c>
    </row>
    <row r="61" spans="1:19" x14ac:dyDescent="0.3">
      <c r="A61">
        <v>1174</v>
      </c>
      <c r="B61" s="1">
        <v>45502</v>
      </c>
      <c r="C61">
        <v>2024</v>
      </c>
      <c r="D61">
        <v>3</v>
      </c>
      <c r="E61" t="s">
        <v>500</v>
      </c>
      <c r="F61" t="s">
        <v>508</v>
      </c>
      <c r="G61" t="s">
        <v>517</v>
      </c>
      <c r="H61" t="s">
        <v>522</v>
      </c>
      <c r="I61" t="s">
        <v>159</v>
      </c>
      <c r="J61" t="s">
        <v>557</v>
      </c>
      <c r="K61" t="s">
        <v>536</v>
      </c>
      <c r="L61" t="s">
        <v>566</v>
      </c>
      <c r="M61" t="s">
        <v>526</v>
      </c>
      <c r="N61">
        <v>3</v>
      </c>
      <c r="O61">
        <v>1</v>
      </c>
      <c r="P61">
        <v>3</v>
      </c>
      <c r="Q61" t="s">
        <v>531</v>
      </c>
      <c r="R61" t="s">
        <v>45</v>
      </c>
      <c r="S61" t="s">
        <v>34</v>
      </c>
    </row>
    <row r="62" spans="1:19" x14ac:dyDescent="0.3">
      <c r="A62">
        <v>1073</v>
      </c>
      <c r="B62" s="1">
        <v>45596</v>
      </c>
      <c r="C62">
        <v>2024</v>
      </c>
      <c r="D62">
        <v>4</v>
      </c>
      <c r="E62" t="s">
        <v>505</v>
      </c>
      <c r="F62" t="s">
        <v>503</v>
      </c>
      <c r="G62" t="s">
        <v>58</v>
      </c>
      <c r="H62" t="s">
        <v>522</v>
      </c>
      <c r="I62" t="s">
        <v>60</v>
      </c>
      <c r="J62" t="s">
        <v>572</v>
      </c>
      <c r="K62" t="s">
        <v>542</v>
      </c>
      <c r="L62" t="s">
        <v>529</v>
      </c>
      <c r="M62" t="s">
        <v>558</v>
      </c>
      <c r="N62">
        <v>1</v>
      </c>
      <c r="Q62" t="s">
        <v>564</v>
      </c>
      <c r="R62" t="s">
        <v>133</v>
      </c>
      <c r="S62" t="s">
        <v>34</v>
      </c>
    </row>
    <row r="63" spans="1:19" x14ac:dyDescent="0.3">
      <c r="A63">
        <v>1085</v>
      </c>
      <c r="B63" s="1">
        <v>45431</v>
      </c>
      <c r="C63">
        <v>2024</v>
      </c>
      <c r="D63">
        <v>2</v>
      </c>
      <c r="E63" t="s">
        <v>509</v>
      </c>
      <c r="F63" t="s">
        <v>506</v>
      </c>
      <c r="G63" t="s">
        <v>170</v>
      </c>
      <c r="H63" t="s">
        <v>109</v>
      </c>
      <c r="I63" t="s">
        <v>159</v>
      </c>
      <c r="J63" t="s">
        <v>278</v>
      </c>
      <c r="K63" t="s">
        <v>536</v>
      </c>
      <c r="L63" t="s">
        <v>566</v>
      </c>
      <c r="M63" t="s">
        <v>520</v>
      </c>
      <c r="N63">
        <v>1</v>
      </c>
      <c r="O63">
        <v>1</v>
      </c>
      <c r="P63">
        <v>1</v>
      </c>
      <c r="Q63" t="s">
        <v>527</v>
      </c>
      <c r="R63" t="s">
        <v>561</v>
      </c>
      <c r="S63" t="s">
        <v>76</v>
      </c>
    </row>
    <row r="64" spans="1:19" x14ac:dyDescent="0.3">
      <c r="A64">
        <v>1171</v>
      </c>
      <c r="B64" s="1">
        <v>45479</v>
      </c>
      <c r="C64">
        <v>2024</v>
      </c>
      <c r="D64">
        <v>3</v>
      </c>
      <c r="E64" t="s">
        <v>500</v>
      </c>
      <c r="F64" t="s">
        <v>497</v>
      </c>
      <c r="G64" t="s">
        <v>310</v>
      </c>
      <c r="H64" t="s">
        <v>91</v>
      </c>
      <c r="I64" t="s">
        <v>159</v>
      </c>
      <c r="J64" t="s">
        <v>196</v>
      </c>
      <c r="K64" t="s">
        <v>549</v>
      </c>
      <c r="L64" t="s">
        <v>537</v>
      </c>
      <c r="M64" t="s">
        <v>546</v>
      </c>
      <c r="N64">
        <v>1</v>
      </c>
      <c r="O64">
        <v>3</v>
      </c>
      <c r="P64">
        <v>3</v>
      </c>
      <c r="Q64" t="s">
        <v>527</v>
      </c>
      <c r="R64" t="s">
        <v>69</v>
      </c>
      <c r="S64" t="s">
        <v>34</v>
      </c>
    </row>
    <row r="65" spans="1:19" x14ac:dyDescent="0.3">
      <c r="A65">
        <v>1099</v>
      </c>
      <c r="B65" s="1">
        <v>45246</v>
      </c>
      <c r="C65">
        <v>2023</v>
      </c>
      <c r="D65">
        <v>4</v>
      </c>
      <c r="E65" t="s">
        <v>496</v>
      </c>
      <c r="F65" t="s">
        <v>503</v>
      </c>
      <c r="G65" t="s">
        <v>83</v>
      </c>
      <c r="H65" t="s">
        <v>511</v>
      </c>
      <c r="I65" t="s">
        <v>60</v>
      </c>
      <c r="J65" t="s">
        <v>531</v>
      </c>
      <c r="K65" t="s">
        <v>532</v>
      </c>
      <c r="L65" t="s">
        <v>529</v>
      </c>
      <c r="M65" t="s">
        <v>526</v>
      </c>
      <c r="N65">
        <v>1</v>
      </c>
      <c r="O65">
        <v>5</v>
      </c>
      <c r="P65">
        <v>5</v>
      </c>
      <c r="Q65" t="s">
        <v>564</v>
      </c>
      <c r="R65" t="s">
        <v>69</v>
      </c>
      <c r="S65" t="s">
        <v>56</v>
      </c>
    </row>
    <row r="66" spans="1:19" x14ac:dyDescent="0.3">
      <c r="A66">
        <v>1038</v>
      </c>
      <c r="B66" s="1">
        <v>45402</v>
      </c>
      <c r="C66">
        <v>2024</v>
      </c>
      <c r="D66">
        <v>2</v>
      </c>
      <c r="E66" t="s">
        <v>515</v>
      </c>
      <c r="F66" t="s">
        <v>497</v>
      </c>
      <c r="G66" t="s">
        <v>78</v>
      </c>
      <c r="H66" t="s">
        <v>511</v>
      </c>
      <c r="I66" t="s">
        <v>18</v>
      </c>
      <c r="J66" t="s">
        <v>531</v>
      </c>
      <c r="K66" t="s">
        <v>562</v>
      </c>
      <c r="L66" t="s">
        <v>567</v>
      </c>
      <c r="M66" t="s">
        <v>546</v>
      </c>
      <c r="N66">
        <v>2</v>
      </c>
      <c r="O66">
        <v>1</v>
      </c>
      <c r="P66">
        <v>2</v>
      </c>
      <c r="Q66" t="s">
        <v>554</v>
      </c>
      <c r="R66" t="s">
        <v>133</v>
      </c>
      <c r="S66" t="s">
        <v>570</v>
      </c>
    </row>
    <row r="67" spans="1:19" x14ac:dyDescent="0.3">
      <c r="A67">
        <v>1156</v>
      </c>
      <c r="B67" s="1">
        <v>44980</v>
      </c>
      <c r="C67">
        <v>2023</v>
      </c>
      <c r="D67">
        <v>1</v>
      </c>
      <c r="E67" t="s">
        <v>512</v>
      </c>
      <c r="F67" t="s">
        <v>503</v>
      </c>
      <c r="G67" t="s">
        <v>517</v>
      </c>
      <c r="H67" t="s">
        <v>48</v>
      </c>
      <c r="I67" t="s">
        <v>531</v>
      </c>
      <c r="J67" t="s">
        <v>531</v>
      </c>
      <c r="K67" t="s">
        <v>547</v>
      </c>
      <c r="L67" t="s">
        <v>529</v>
      </c>
      <c r="M67" t="s">
        <v>80</v>
      </c>
      <c r="N67">
        <v>5</v>
      </c>
      <c r="O67">
        <v>4</v>
      </c>
      <c r="P67">
        <v>20</v>
      </c>
      <c r="Q67" t="s">
        <v>564</v>
      </c>
      <c r="R67" t="s">
        <v>45</v>
      </c>
      <c r="S67" t="s">
        <v>121</v>
      </c>
    </row>
    <row r="68" spans="1:19" x14ac:dyDescent="0.3">
      <c r="A68">
        <v>1114</v>
      </c>
      <c r="B68" s="1">
        <v>45424</v>
      </c>
      <c r="C68">
        <v>2024</v>
      </c>
      <c r="D68">
        <v>2</v>
      </c>
      <c r="E68" t="s">
        <v>509</v>
      </c>
      <c r="F68" t="s">
        <v>506</v>
      </c>
      <c r="G68" t="s">
        <v>90</v>
      </c>
      <c r="H68" t="s">
        <v>91</v>
      </c>
      <c r="I68" t="s">
        <v>148</v>
      </c>
      <c r="J68" t="s">
        <v>290</v>
      </c>
      <c r="K68" t="s">
        <v>528</v>
      </c>
      <c r="L68" t="s">
        <v>525</v>
      </c>
      <c r="M68" t="s">
        <v>534</v>
      </c>
      <c r="N68">
        <v>4</v>
      </c>
      <c r="O68">
        <v>5</v>
      </c>
      <c r="P68">
        <v>20</v>
      </c>
      <c r="Q68" t="s">
        <v>554</v>
      </c>
      <c r="R68" t="s">
        <v>69</v>
      </c>
      <c r="S68" t="s">
        <v>56</v>
      </c>
    </row>
    <row r="69" spans="1:19" x14ac:dyDescent="0.3">
      <c r="A69">
        <v>1106</v>
      </c>
      <c r="B69" s="1">
        <v>45076</v>
      </c>
      <c r="C69">
        <v>2023</v>
      </c>
      <c r="D69">
        <v>2</v>
      </c>
      <c r="E69" t="s">
        <v>509</v>
      </c>
      <c r="F69" t="s">
        <v>501</v>
      </c>
      <c r="G69" t="s">
        <v>213</v>
      </c>
      <c r="H69" t="s">
        <v>91</v>
      </c>
      <c r="I69" t="s">
        <v>103</v>
      </c>
      <c r="J69" t="s">
        <v>293</v>
      </c>
      <c r="K69" t="s">
        <v>536</v>
      </c>
      <c r="L69" t="s">
        <v>533</v>
      </c>
      <c r="M69" t="s">
        <v>80</v>
      </c>
      <c r="O69">
        <v>3</v>
      </c>
      <c r="Q69" t="s">
        <v>538</v>
      </c>
      <c r="R69" t="s">
        <v>45</v>
      </c>
      <c r="S69" t="s">
        <v>570</v>
      </c>
    </row>
    <row r="70" spans="1:19" x14ac:dyDescent="0.3">
      <c r="A70">
        <v>1102</v>
      </c>
      <c r="B70" s="1">
        <v>45436</v>
      </c>
      <c r="C70">
        <v>2024</v>
      </c>
      <c r="D70">
        <v>2</v>
      </c>
      <c r="E70" t="s">
        <v>509</v>
      </c>
      <c r="F70" t="s">
        <v>499</v>
      </c>
      <c r="G70" t="s">
        <v>213</v>
      </c>
      <c r="H70" t="s">
        <v>91</v>
      </c>
      <c r="I70" t="s">
        <v>25</v>
      </c>
      <c r="J70" t="s">
        <v>296</v>
      </c>
      <c r="K70" t="s">
        <v>524</v>
      </c>
      <c r="L70" t="s">
        <v>550</v>
      </c>
      <c r="M70" t="s">
        <v>526</v>
      </c>
      <c r="N70">
        <v>5</v>
      </c>
      <c r="O70">
        <v>5</v>
      </c>
      <c r="P70">
        <v>25</v>
      </c>
      <c r="Q70" t="s">
        <v>554</v>
      </c>
      <c r="R70" t="s">
        <v>69</v>
      </c>
      <c r="S70" t="s">
        <v>34</v>
      </c>
    </row>
    <row r="71" spans="1:19" x14ac:dyDescent="0.3">
      <c r="A71">
        <v>1050</v>
      </c>
      <c r="B71" s="1">
        <v>45178</v>
      </c>
      <c r="C71">
        <v>2023</v>
      </c>
      <c r="D71">
        <v>3</v>
      </c>
      <c r="E71" t="s">
        <v>516</v>
      </c>
      <c r="F71" t="s">
        <v>497</v>
      </c>
      <c r="G71" t="s">
        <v>541</v>
      </c>
      <c r="H71" t="s">
        <v>17</v>
      </c>
      <c r="I71" t="s">
        <v>148</v>
      </c>
      <c r="J71" t="s">
        <v>149</v>
      </c>
      <c r="K71" t="s">
        <v>562</v>
      </c>
      <c r="L71" t="s">
        <v>567</v>
      </c>
      <c r="M71" t="s">
        <v>546</v>
      </c>
      <c r="N71">
        <v>3</v>
      </c>
      <c r="O71">
        <v>5</v>
      </c>
      <c r="P71">
        <v>15</v>
      </c>
      <c r="Q71" t="s">
        <v>527</v>
      </c>
      <c r="R71" t="s">
        <v>133</v>
      </c>
      <c r="S71" t="s">
        <v>56</v>
      </c>
    </row>
    <row r="72" spans="1:19" x14ac:dyDescent="0.3">
      <c r="A72">
        <v>1105</v>
      </c>
      <c r="B72" s="1">
        <v>45153</v>
      </c>
      <c r="C72">
        <v>2023</v>
      </c>
      <c r="D72">
        <v>3</v>
      </c>
      <c r="E72" t="s">
        <v>514</v>
      </c>
      <c r="F72" t="s">
        <v>501</v>
      </c>
      <c r="G72" t="s">
        <v>213</v>
      </c>
      <c r="H72" t="s">
        <v>102</v>
      </c>
      <c r="I72" t="s">
        <v>159</v>
      </c>
      <c r="J72" t="s">
        <v>198</v>
      </c>
      <c r="K72" t="s">
        <v>553</v>
      </c>
      <c r="L72" t="s">
        <v>529</v>
      </c>
      <c r="M72" t="s">
        <v>539</v>
      </c>
      <c r="N72">
        <v>3</v>
      </c>
      <c r="O72">
        <v>5</v>
      </c>
      <c r="P72">
        <v>15</v>
      </c>
      <c r="Q72" t="s">
        <v>554</v>
      </c>
      <c r="R72" t="s">
        <v>45</v>
      </c>
      <c r="S72" t="s">
        <v>34</v>
      </c>
    </row>
    <row r="73" spans="1:19" x14ac:dyDescent="0.3">
      <c r="A73">
        <v>1006</v>
      </c>
      <c r="B73" s="1">
        <v>45613</v>
      </c>
      <c r="C73">
        <v>2024</v>
      </c>
      <c r="D73">
        <v>4</v>
      </c>
      <c r="E73" t="s">
        <v>496</v>
      </c>
      <c r="F73" t="s">
        <v>506</v>
      </c>
      <c r="G73" t="s">
        <v>36</v>
      </c>
      <c r="H73" t="s">
        <v>511</v>
      </c>
      <c r="I73" t="s">
        <v>115</v>
      </c>
      <c r="J73" t="s">
        <v>565</v>
      </c>
      <c r="K73" t="s">
        <v>536</v>
      </c>
      <c r="L73" t="s">
        <v>555</v>
      </c>
      <c r="M73" t="s">
        <v>526</v>
      </c>
      <c r="N73">
        <v>3</v>
      </c>
      <c r="O73">
        <v>5</v>
      </c>
      <c r="P73">
        <v>15</v>
      </c>
      <c r="Q73" t="s">
        <v>564</v>
      </c>
      <c r="R73" t="s">
        <v>133</v>
      </c>
      <c r="S73" t="s">
        <v>76</v>
      </c>
    </row>
    <row r="74" spans="1:19" x14ac:dyDescent="0.3">
      <c r="A74">
        <v>1123</v>
      </c>
      <c r="B74" s="1">
        <v>45413</v>
      </c>
      <c r="C74">
        <v>2024</v>
      </c>
      <c r="D74">
        <v>2</v>
      </c>
      <c r="E74" t="s">
        <v>509</v>
      </c>
      <c r="F74" t="s">
        <v>507</v>
      </c>
      <c r="G74" t="s">
        <v>147</v>
      </c>
      <c r="H74" t="s">
        <v>522</v>
      </c>
      <c r="I74" t="s">
        <v>159</v>
      </c>
      <c r="J74" t="s">
        <v>557</v>
      </c>
      <c r="K74" t="s">
        <v>562</v>
      </c>
      <c r="L74" t="s">
        <v>555</v>
      </c>
      <c r="M74" t="s">
        <v>539</v>
      </c>
      <c r="O74">
        <v>2</v>
      </c>
      <c r="Q74" t="s">
        <v>538</v>
      </c>
      <c r="R74" t="s">
        <v>133</v>
      </c>
      <c r="S74" t="s">
        <v>570</v>
      </c>
    </row>
    <row r="75" spans="1:19" x14ac:dyDescent="0.3">
      <c r="A75">
        <v>1175</v>
      </c>
      <c r="B75" s="1">
        <v>45122</v>
      </c>
      <c r="C75">
        <v>2023</v>
      </c>
      <c r="D75">
        <v>3</v>
      </c>
      <c r="E75" t="s">
        <v>500</v>
      </c>
      <c r="F75" t="s">
        <v>497</v>
      </c>
      <c r="G75" t="s">
        <v>541</v>
      </c>
      <c r="H75" t="s">
        <v>135</v>
      </c>
      <c r="I75" t="s">
        <v>115</v>
      </c>
      <c r="J75" t="s">
        <v>308</v>
      </c>
      <c r="K75" t="s">
        <v>559</v>
      </c>
      <c r="L75" t="s">
        <v>556</v>
      </c>
      <c r="M75" t="s">
        <v>544</v>
      </c>
      <c r="N75">
        <v>1</v>
      </c>
      <c r="O75">
        <v>5</v>
      </c>
      <c r="P75">
        <v>5</v>
      </c>
      <c r="Q75" t="s">
        <v>538</v>
      </c>
      <c r="R75" t="s">
        <v>45</v>
      </c>
      <c r="S75" t="s">
        <v>121</v>
      </c>
    </row>
    <row r="76" spans="1:19" x14ac:dyDescent="0.3">
      <c r="A76">
        <v>1002</v>
      </c>
      <c r="B76" s="1">
        <v>45348</v>
      </c>
      <c r="C76">
        <v>2024</v>
      </c>
      <c r="D76">
        <v>1</v>
      </c>
      <c r="E76" t="s">
        <v>512</v>
      </c>
      <c r="F76" t="s">
        <v>508</v>
      </c>
      <c r="G76" t="s">
        <v>310</v>
      </c>
      <c r="H76" t="s">
        <v>522</v>
      </c>
      <c r="I76" t="s">
        <v>531</v>
      </c>
      <c r="J76" t="s">
        <v>531</v>
      </c>
      <c r="K76" t="s">
        <v>549</v>
      </c>
      <c r="L76" t="s">
        <v>555</v>
      </c>
      <c r="M76" t="s">
        <v>551</v>
      </c>
      <c r="N76">
        <v>1</v>
      </c>
      <c r="O76">
        <v>1</v>
      </c>
      <c r="P76">
        <v>1</v>
      </c>
      <c r="Q76" t="s">
        <v>538</v>
      </c>
      <c r="R76" t="s">
        <v>69</v>
      </c>
      <c r="S76" t="s">
        <v>76</v>
      </c>
    </row>
    <row r="77" spans="1:19" x14ac:dyDescent="0.3">
      <c r="A77">
        <v>1107</v>
      </c>
      <c r="B77" s="1">
        <v>45505</v>
      </c>
      <c r="C77">
        <v>2024</v>
      </c>
      <c r="D77">
        <v>3</v>
      </c>
      <c r="E77" t="s">
        <v>514</v>
      </c>
      <c r="F77" t="s">
        <v>503</v>
      </c>
      <c r="G77" t="s">
        <v>58</v>
      </c>
      <c r="H77" t="s">
        <v>102</v>
      </c>
      <c r="I77" t="s">
        <v>18</v>
      </c>
      <c r="J77" t="s">
        <v>313</v>
      </c>
      <c r="K77" t="s">
        <v>536</v>
      </c>
      <c r="L77" t="s">
        <v>567</v>
      </c>
      <c r="M77" t="s">
        <v>534</v>
      </c>
      <c r="N77">
        <v>3</v>
      </c>
      <c r="Q77" t="s">
        <v>521</v>
      </c>
      <c r="R77" t="s">
        <v>133</v>
      </c>
      <c r="S77" t="s">
        <v>34</v>
      </c>
    </row>
    <row r="78" spans="1:19" x14ac:dyDescent="0.3">
      <c r="A78">
        <v>1087</v>
      </c>
      <c r="B78" s="1">
        <v>45587</v>
      </c>
      <c r="C78">
        <v>2024</v>
      </c>
      <c r="D78">
        <v>4</v>
      </c>
      <c r="E78" t="s">
        <v>505</v>
      </c>
      <c r="F78" t="s">
        <v>501</v>
      </c>
      <c r="G78" t="s">
        <v>310</v>
      </c>
      <c r="H78" t="s">
        <v>135</v>
      </c>
      <c r="I78" t="s">
        <v>72</v>
      </c>
      <c r="J78" t="s">
        <v>315</v>
      </c>
      <c r="K78" t="s">
        <v>545</v>
      </c>
      <c r="L78" t="s">
        <v>529</v>
      </c>
      <c r="M78" t="s">
        <v>520</v>
      </c>
      <c r="N78">
        <v>2</v>
      </c>
      <c r="O78">
        <v>5</v>
      </c>
      <c r="P78">
        <v>10</v>
      </c>
      <c r="Q78" t="s">
        <v>538</v>
      </c>
      <c r="R78" t="s">
        <v>561</v>
      </c>
      <c r="S78" t="s">
        <v>121</v>
      </c>
    </row>
    <row r="79" spans="1:19" x14ac:dyDescent="0.3">
      <c r="A79">
        <v>1065</v>
      </c>
      <c r="B79" s="1">
        <v>45337</v>
      </c>
      <c r="C79">
        <v>2024</v>
      </c>
      <c r="D79">
        <v>1</v>
      </c>
      <c r="E79" t="s">
        <v>512</v>
      </c>
      <c r="F79" t="s">
        <v>503</v>
      </c>
      <c r="G79" t="s">
        <v>310</v>
      </c>
      <c r="H79" t="s">
        <v>17</v>
      </c>
      <c r="I79" t="s">
        <v>60</v>
      </c>
      <c r="J79" t="s">
        <v>394</v>
      </c>
      <c r="K79" t="s">
        <v>518</v>
      </c>
      <c r="L79" t="s">
        <v>525</v>
      </c>
      <c r="M79" t="s">
        <v>530</v>
      </c>
      <c r="N79">
        <v>1</v>
      </c>
      <c r="O79">
        <v>5</v>
      </c>
      <c r="P79">
        <v>5</v>
      </c>
      <c r="Q79" t="s">
        <v>538</v>
      </c>
      <c r="R79" t="s">
        <v>133</v>
      </c>
      <c r="S79" t="s">
        <v>56</v>
      </c>
    </row>
    <row r="80" spans="1:19" x14ac:dyDescent="0.3">
      <c r="A80">
        <v>1042</v>
      </c>
      <c r="B80" s="1">
        <v>45486</v>
      </c>
      <c r="C80">
        <v>2024</v>
      </c>
      <c r="D80">
        <v>3</v>
      </c>
      <c r="E80" t="s">
        <v>500</v>
      </c>
      <c r="F80" t="s">
        <v>497</v>
      </c>
      <c r="G80" t="s">
        <v>90</v>
      </c>
      <c r="H80" t="s">
        <v>17</v>
      </c>
      <c r="I80" t="s">
        <v>148</v>
      </c>
      <c r="J80" t="s">
        <v>149</v>
      </c>
      <c r="K80" t="s">
        <v>549</v>
      </c>
      <c r="L80" t="s">
        <v>566</v>
      </c>
      <c r="M80" t="s">
        <v>520</v>
      </c>
      <c r="N80">
        <v>3</v>
      </c>
      <c r="O80">
        <v>1</v>
      </c>
      <c r="P80">
        <v>3</v>
      </c>
      <c r="Q80" t="s">
        <v>538</v>
      </c>
      <c r="R80" t="s">
        <v>133</v>
      </c>
      <c r="S80" t="s">
        <v>34</v>
      </c>
    </row>
    <row r="81" spans="1:19" x14ac:dyDescent="0.3">
      <c r="A81">
        <v>1053</v>
      </c>
      <c r="B81" s="1">
        <v>45470</v>
      </c>
      <c r="C81">
        <v>2024</v>
      </c>
      <c r="D81">
        <v>2</v>
      </c>
      <c r="E81" t="s">
        <v>502</v>
      </c>
      <c r="F81" t="s">
        <v>503</v>
      </c>
      <c r="G81" t="s">
        <v>517</v>
      </c>
      <c r="H81" t="s">
        <v>522</v>
      </c>
      <c r="I81" t="s">
        <v>18</v>
      </c>
      <c r="J81" t="s">
        <v>573</v>
      </c>
      <c r="K81" t="s">
        <v>518</v>
      </c>
      <c r="L81" t="s">
        <v>550</v>
      </c>
      <c r="M81" t="s">
        <v>520</v>
      </c>
      <c r="N81">
        <v>3</v>
      </c>
      <c r="O81">
        <v>5</v>
      </c>
      <c r="P81">
        <v>15</v>
      </c>
      <c r="Q81" t="s">
        <v>531</v>
      </c>
      <c r="R81" t="s">
        <v>133</v>
      </c>
      <c r="S81" t="s">
        <v>34</v>
      </c>
    </row>
    <row r="82" spans="1:19" x14ac:dyDescent="0.3">
      <c r="A82">
        <v>1179</v>
      </c>
      <c r="B82" s="1">
        <v>45178</v>
      </c>
      <c r="C82">
        <v>2023</v>
      </c>
      <c r="D82">
        <v>3</v>
      </c>
      <c r="E82" t="s">
        <v>516</v>
      </c>
      <c r="F82" t="s">
        <v>497</v>
      </c>
      <c r="G82" t="s">
        <v>78</v>
      </c>
      <c r="H82" t="s">
        <v>102</v>
      </c>
      <c r="I82" t="s">
        <v>115</v>
      </c>
      <c r="J82" t="s">
        <v>181</v>
      </c>
      <c r="K82" t="s">
        <v>518</v>
      </c>
      <c r="L82" t="s">
        <v>525</v>
      </c>
      <c r="M82" t="s">
        <v>520</v>
      </c>
      <c r="N82">
        <v>4</v>
      </c>
      <c r="O82">
        <v>3</v>
      </c>
      <c r="P82">
        <v>12</v>
      </c>
      <c r="Q82" t="s">
        <v>521</v>
      </c>
      <c r="R82" t="s">
        <v>133</v>
      </c>
      <c r="S82" t="s">
        <v>121</v>
      </c>
    </row>
    <row r="83" spans="1:19" x14ac:dyDescent="0.3">
      <c r="A83">
        <v>1082</v>
      </c>
      <c r="B83" s="1">
        <v>45229</v>
      </c>
      <c r="C83">
        <v>2023</v>
      </c>
      <c r="D83">
        <v>4</v>
      </c>
      <c r="E83" t="s">
        <v>505</v>
      </c>
      <c r="F83" t="s">
        <v>508</v>
      </c>
      <c r="G83" t="s">
        <v>170</v>
      </c>
      <c r="H83" t="s">
        <v>17</v>
      </c>
      <c r="I83" t="s">
        <v>60</v>
      </c>
      <c r="J83" t="s">
        <v>394</v>
      </c>
      <c r="K83" t="s">
        <v>536</v>
      </c>
      <c r="L83" t="s">
        <v>533</v>
      </c>
      <c r="M83" t="s">
        <v>526</v>
      </c>
      <c r="N83">
        <v>5</v>
      </c>
      <c r="O83">
        <v>1</v>
      </c>
      <c r="P83">
        <v>5</v>
      </c>
      <c r="Q83" t="s">
        <v>527</v>
      </c>
      <c r="R83" t="s">
        <v>69</v>
      </c>
      <c r="S83" t="s">
        <v>34</v>
      </c>
    </row>
    <row r="84" spans="1:19" x14ac:dyDescent="0.3">
      <c r="A84">
        <v>1008</v>
      </c>
      <c r="B84" s="1">
        <v>45069</v>
      </c>
      <c r="C84">
        <v>2023</v>
      </c>
      <c r="D84">
        <v>2</v>
      </c>
      <c r="E84" t="s">
        <v>509</v>
      </c>
      <c r="F84" t="s">
        <v>501</v>
      </c>
      <c r="G84" t="s">
        <v>78</v>
      </c>
      <c r="H84" t="s">
        <v>522</v>
      </c>
      <c r="I84" t="s">
        <v>72</v>
      </c>
      <c r="J84" t="s">
        <v>568</v>
      </c>
      <c r="K84" t="s">
        <v>531</v>
      </c>
      <c r="L84" t="s">
        <v>556</v>
      </c>
      <c r="M84" t="s">
        <v>558</v>
      </c>
      <c r="O84">
        <v>1</v>
      </c>
      <c r="Q84" t="s">
        <v>527</v>
      </c>
      <c r="R84" t="s">
        <v>133</v>
      </c>
      <c r="S84" t="s">
        <v>121</v>
      </c>
    </row>
    <row r="85" spans="1:19" x14ac:dyDescent="0.3">
      <c r="A85">
        <v>1062</v>
      </c>
      <c r="B85" s="1">
        <v>45429</v>
      </c>
      <c r="C85">
        <v>2024</v>
      </c>
      <c r="D85">
        <v>2</v>
      </c>
      <c r="E85" t="s">
        <v>509</v>
      </c>
      <c r="F85" t="s">
        <v>499</v>
      </c>
      <c r="G85" t="s">
        <v>36</v>
      </c>
      <c r="H85" t="s">
        <v>102</v>
      </c>
      <c r="I85" t="s">
        <v>18</v>
      </c>
      <c r="J85" t="s">
        <v>313</v>
      </c>
      <c r="K85" t="s">
        <v>559</v>
      </c>
      <c r="L85" t="s">
        <v>519</v>
      </c>
      <c r="M85" t="s">
        <v>534</v>
      </c>
      <c r="N85">
        <v>3</v>
      </c>
      <c r="O85">
        <v>3</v>
      </c>
      <c r="P85">
        <v>9</v>
      </c>
      <c r="Q85" t="s">
        <v>564</v>
      </c>
      <c r="R85" t="s">
        <v>133</v>
      </c>
      <c r="S85" t="s">
        <v>34</v>
      </c>
    </row>
    <row r="86" spans="1:19" x14ac:dyDescent="0.3">
      <c r="A86">
        <v>1180</v>
      </c>
      <c r="B86" s="1">
        <v>45486</v>
      </c>
      <c r="C86">
        <v>2024</v>
      </c>
      <c r="D86">
        <v>3</v>
      </c>
      <c r="E86" t="s">
        <v>500</v>
      </c>
      <c r="F86" t="s">
        <v>497</v>
      </c>
      <c r="G86" t="s">
        <v>213</v>
      </c>
      <c r="H86" t="s">
        <v>522</v>
      </c>
      <c r="I86" t="s">
        <v>115</v>
      </c>
      <c r="J86" t="s">
        <v>574</v>
      </c>
      <c r="K86" t="s">
        <v>528</v>
      </c>
      <c r="L86" t="s">
        <v>555</v>
      </c>
      <c r="M86" t="s">
        <v>544</v>
      </c>
      <c r="N86">
        <v>5</v>
      </c>
      <c r="O86">
        <v>3</v>
      </c>
      <c r="P86">
        <v>15</v>
      </c>
      <c r="Q86" t="s">
        <v>538</v>
      </c>
      <c r="R86" t="s">
        <v>561</v>
      </c>
      <c r="S86" t="s">
        <v>56</v>
      </c>
    </row>
    <row r="87" spans="1:19" x14ac:dyDescent="0.3">
      <c r="A87">
        <v>1071</v>
      </c>
      <c r="B87" s="1">
        <v>45171</v>
      </c>
      <c r="C87">
        <v>2023</v>
      </c>
      <c r="D87">
        <v>3</v>
      </c>
      <c r="E87" t="s">
        <v>516</v>
      </c>
      <c r="F87" t="s">
        <v>497</v>
      </c>
      <c r="G87" t="s">
        <v>517</v>
      </c>
      <c r="H87" t="s">
        <v>109</v>
      </c>
      <c r="I87" t="s">
        <v>148</v>
      </c>
      <c r="J87" t="s">
        <v>220</v>
      </c>
      <c r="K87" t="s">
        <v>547</v>
      </c>
      <c r="L87" t="s">
        <v>529</v>
      </c>
      <c r="M87" t="s">
        <v>530</v>
      </c>
      <c r="N87">
        <v>5</v>
      </c>
      <c r="O87">
        <v>4</v>
      </c>
      <c r="P87">
        <v>20</v>
      </c>
      <c r="Q87" t="s">
        <v>521</v>
      </c>
      <c r="R87" t="s">
        <v>561</v>
      </c>
      <c r="S87" t="s">
        <v>76</v>
      </c>
    </row>
    <row r="88" spans="1:19" x14ac:dyDescent="0.3">
      <c r="A88">
        <v>1116</v>
      </c>
      <c r="B88" s="1">
        <v>45386</v>
      </c>
      <c r="C88">
        <v>2024</v>
      </c>
      <c r="D88">
        <v>2</v>
      </c>
      <c r="E88" t="s">
        <v>515</v>
      </c>
      <c r="F88" t="s">
        <v>503</v>
      </c>
      <c r="G88" t="s">
        <v>78</v>
      </c>
      <c r="H88" t="s">
        <v>109</v>
      </c>
      <c r="I88" t="s">
        <v>72</v>
      </c>
      <c r="J88" t="s">
        <v>341</v>
      </c>
      <c r="K88" t="s">
        <v>562</v>
      </c>
      <c r="L88" t="s">
        <v>533</v>
      </c>
      <c r="M88" t="s">
        <v>520</v>
      </c>
      <c r="N88">
        <v>1</v>
      </c>
      <c r="Q88" t="s">
        <v>535</v>
      </c>
      <c r="R88" t="s">
        <v>133</v>
      </c>
      <c r="S88" t="s">
        <v>570</v>
      </c>
    </row>
    <row r="89" spans="1:19" x14ac:dyDescent="0.3">
      <c r="A89">
        <v>1009</v>
      </c>
      <c r="B89" s="1">
        <v>44975</v>
      </c>
      <c r="C89">
        <v>2023</v>
      </c>
      <c r="D89">
        <v>1</v>
      </c>
      <c r="E89" t="s">
        <v>512</v>
      </c>
      <c r="F89" t="s">
        <v>497</v>
      </c>
      <c r="G89" t="s">
        <v>170</v>
      </c>
      <c r="H89" t="s">
        <v>102</v>
      </c>
      <c r="I89" t="s">
        <v>148</v>
      </c>
      <c r="J89" t="s">
        <v>195</v>
      </c>
      <c r="K89" t="s">
        <v>562</v>
      </c>
      <c r="L89" t="s">
        <v>543</v>
      </c>
      <c r="M89" t="s">
        <v>558</v>
      </c>
      <c r="N89">
        <v>3</v>
      </c>
      <c r="O89">
        <v>1</v>
      </c>
      <c r="P89">
        <v>3</v>
      </c>
      <c r="Q89" t="s">
        <v>538</v>
      </c>
      <c r="R89" t="s">
        <v>133</v>
      </c>
      <c r="S89" t="s">
        <v>76</v>
      </c>
    </row>
    <row r="90" spans="1:19" x14ac:dyDescent="0.3">
      <c r="A90">
        <v>1132</v>
      </c>
      <c r="B90" s="1">
        <v>44953</v>
      </c>
      <c r="C90">
        <v>2023</v>
      </c>
      <c r="D90">
        <v>1</v>
      </c>
      <c r="E90" t="s">
        <v>498</v>
      </c>
      <c r="F90" t="s">
        <v>499</v>
      </c>
      <c r="G90" t="s">
        <v>114</v>
      </c>
      <c r="H90" t="s">
        <v>522</v>
      </c>
      <c r="I90" t="s">
        <v>25</v>
      </c>
      <c r="J90" t="s">
        <v>575</v>
      </c>
      <c r="K90" t="s">
        <v>532</v>
      </c>
      <c r="L90" t="s">
        <v>555</v>
      </c>
      <c r="M90" t="s">
        <v>534</v>
      </c>
      <c r="N90">
        <v>5</v>
      </c>
      <c r="O90">
        <v>4</v>
      </c>
      <c r="P90">
        <v>20</v>
      </c>
      <c r="Q90" t="s">
        <v>531</v>
      </c>
      <c r="R90" t="s">
        <v>133</v>
      </c>
      <c r="S90" t="s">
        <v>570</v>
      </c>
    </row>
    <row r="91" spans="1:19" x14ac:dyDescent="0.3">
      <c r="A91">
        <v>1080</v>
      </c>
      <c r="B91" s="1">
        <v>45562</v>
      </c>
      <c r="C91">
        <v>2024</v>
      </c>
      <c r="D91">
        <v>3</v>
      </c>
      <c r="E91" t="s">
        <v>516</v>
      </c>
      <c r="F91" t="s">
        <v>499</v>
      </c>
      <c r="G91" t="s">
        <v>170</v>
      </c>
      <c r="H91" t="s">
        <v>102</v>
      </c>
      <c r="I91" t="s">
        <v>60</v>
      </c>
      <c r="J91" t="s">
        <v>61</v>
      </c>
      <c r="K91" t="s">
        <v>532</v>
      </c>
      <c r="L91" t="s">
        <v>543</v>
      </c>
      <c r="M91" t="s">
        <v>80</v>
      </c>
      <c r="N91">
        <v>5</v>
      </c>
      <c r="O91">
        <v>4</v>
      </c>
      <c r="P91">
        <v>20</v>
      </c>
      <c r="Q91" t="s">
        <v>538</v>
      </c>
      <c r="R91" t="s">
        <v>133</v>
      </c>
      <c r="S91" t="s">
        <v>570</v>
      </c>
    </row>
    <row r="92" spans="1:19" x14ac:dyDescent="0.3">
      <c r="A92">
        <v>1141</v>
      </c>
      <c r="B92" s="1">
        <v>45060</v>
      </c>
      <c r="C92">
        <v>2023</v>
      </c>
      <c r="D92">
        <v>2</v>
      </c>
      <c r="E92" t="s">
        <v>509</v>
      </c>
      <c r="F92" t="s">
        <v>506</v>
      </c>
      <c r="G92" t="s">
        <v>147</v>
      </c>
      <c r="H92" t="s">
        <v>522</v>
      </c>
      <c r="I92" t="s">
        <v>60</v>
      </c>
      <c r="J92" t="s">
        <v>572</v>
      </c>
      <c r="K92" t="s">
        <v>518</v>
      </c>
      <c r="L92" t="s">
        <v>537</v>
      </c>
      <c r="M92" t="s">
        <v>520</v>
      </c>
      <c r="N92">
        <v>5</v>
      </c>
      <c r="O92">
        <v>5</v>
      </c>
      <c r="P92">
        <v>25</v>
      </c>
      <c r="Q92" t="s">
        <v>538</v>
      </c>
      <c r="R92" t="s">
        <v>133</v>
      </c>
      <c r="S92" t="s">
        <v>570</v>
      </c>
    </row>
    <row r="93" spans="1:19" x14ac:dyDescent="0.3">
      <c r="A93">
        <v>1134</v>
      </c>
      <c r="B93" s="1">
        <v>45234</v>
      </c>
      <c r="C93">
        <v>2023</v>
      </c>
      <c r="D93">
        <v>4</v>
      </c>
      <c r="E93" t="s">
        <v>496</v>
      </c>
      <c r="F93" t="s">
        <v>497</v>
      </c>
      <c r="G93" t="s">
        <v>213</v>
      </c>
      <c r="H93" t="s">
        <v>48</v>
      </c>
      <c r="I93" t="s">
        <v>159</v>
      </c>
      <c r="J93" t="s">
        <v>229</v>
      </c>
      <c r="K93" t="s">
        <v>545</v>
      </c>
      <c r="L93" t="s">
        <v>529</v>
      </c>
      <c r="M93" t="s">
        <v>526</v>
      </c>
      <c r="N93">
        <v>2</v>
      </c>
      <c r="O93">
        <v>1</v>
      </c>
      <c r="P93">
        <v>2</v>
      </c>
      <c r="Q93" t="s">
        <v>564</v>
      </c>
      <c r="R93" t="s">
        <v>45</v>
      </c>
      <c r="S93" t="s">
        <v>570</v>
      </c>
    </row>
    <row r="94" spans="1:19" x14ac:dyDescent="0.3">
      <c r="A94">
        <v>1030</v>
      </c>
      <c r="B94" s="1">
        <v>45398</v>
      </c>
      <c r="C94">
        <v>2024</v>
      </c>
      <c r="D94">
        <v>2</v>
      </c>
      <c r="E94" t="s">
        <v>515</v>
      </c>
      <c r="F94" t="s">
        <v>501</v>
      </c>
      <c r="G94" t="s">
        <v>58</v>
      </c>
      <c r="H94" t="s">
        <v>109</v>
      </c>
      <c r="I94" t="s">
        <v>148</v>
      </c>
      <c r="J94" t="s">
        <v>220</v>
      </c>
      <c r="K94" t="s">
        <v>528</v>
      </c>
      <c r="L94" t="s">
        <v>543</v>
      </c>
      <c r="M94" t="s">
        <v>526</v>
      </c>
      <c r="N94">
        <v>1</v>
      </c>
      <c r="O94">
        <v>1</v>
      </c>
      <c r="P94">
        <v>1</v>
      </c>
      <c r="Q94" t="s">
        <v>527</v>
      </c>
      <c r="R94" t="s">
        <v>133</v>
      </c>
      <c r="S94" t="s">
        <v>34</v>
      </c>
    </row>
    <row r="95" spans="1:19" x14ac:dyDescent="0.3">
      <c r="A95">
        <v>1040</v>
      </c>
      <c r="B95" s="1">
        <v>45009</v>
      </c>
      <c r="C95">
        <v>2023</v>
      </c>
      <c r="D95">
        <v>1</v>
      </c>
      <c r="E95" t="s">
        <v>510</v>
      </c>
      <c r="F95" t="s">
        <v>499</v>
      </c>
      <c r="G95" t="s">
        <v>170</v>
      </c>
      <c r="H95" t="s">
        <v>109</v>
      </c>
      <c r="I95" t="s">
        <v>25</v>
      </c>
      <c r="J95" t="s">
        <v>361</v>
      </c>
      <c r="K95" t="s">
        <v>531</v>
      </c>
      <c r="L95" t="s">
        <v>519</v>
      </c>
      <c r="M95" t="s">
        <v>526</v>
      </c>
      <c r="N95">
        <v>5</v>
      </c>
      <c r="O95">
        <v>5</v>
      </c>
      <c r="P95">
        <v>25</v>
      </c>
      <c r="Q95" t="s">
        <v>538</v>
      </c>
      <c r="R95" t="s">
        <v>133</v>
      </c>
      <c r="S95" t="s">
        <v>76</v>
      </c>
    </row>
    <row r="96" spans="1:19" x14ac:dyDescent="0.3">
      <c r="A96">
        <v>1051</v>
      </c>
      <c r="B96" s="1">
        <v>45290</v>
      </c>
      <c r="C96">
        <v>2023</v>
      </c>
      <c r="D96">
        <v>4</v>
      </c>
      <c r="E96" t="s">
        <v>513</v>
      </c>
      <c r="F96" t="s">
        <v>497</v>
      </c>
      <c r="G96" t="s">
        <v>58</v>
      </c>
      <c r="H96" t="s">
        <v>109</v>
      </c>
      <c r="I96" t="s">
        <v>103</v>
      </c>
      <c r="J96" t="s">
        <v>563</v>
      </c>
      <c r="K96" t="s">
        <v>531</v>
      </c>
      <c r="L96" t="s">
        <v>525</v>
      </c>
      <c r="M96" t="s">
        <v>539</v>
      </c>
      <c r="N96">
        <v>5</v>
      </c>
      <c r="O96">
        <v>3</v>
      </c>
      <c r="P96">
        <v>15</v>
      </c>
      <c r="Q96" t="s">
        <v>538</v>
      </c>
      <c r="R96" t="s">
        <v>69</v>
      </c>
      <c r="S96" t="s">
        <v>121</v>
      </c>
    </row>
    <row r="97" spans="1:19" x14ac:dyDescent="0.3">
      <c r="A97">
        <v>1078</v>
      </c>
      <c r="B97" s="1">
        <v>45236</v>
      </c>
      <c r="C97">
        <v>2023</v>
      </c>
      <c r="D97">
        <v>4</v>
      </c>
      <c r="E97" t="s">
        <v>496</v>
      </c>
      <c r="F97" t="s">
        <v>508</v>
      </c>
      <c r="G97" t="s">
        <v>517</v>
      </c>
      <c r="H97" t="s">
        <v>17</v>
      </c>
      <c r="I97" t="s">
        <v>60</v>
      </c>
      <c r="J97" t="s">
        <v>394</v>
      </c>
      <c r="K97" t="s">
        <v>545</v>
      </c>
      <c r="L97" t="s">
        <v>566</v>
      </c>
      <c r="M97" t="s">
        <v>546</v>
      </c>
      <c r="N97">
        <v>3</v>
      </c>
      <c r="O97">
        <v>5</v>
      </c>
      <c r="P97">
        <v>15</v>
      </c>
      <c r="Q97" t="s">
        <v>527</v>
      </c>
      <c r="R97" t="s">
        <v>69</v>
      </c>
      <c r="S97" t="s">
        <v>34</v>
      </c>
    </row>
    <row r="98" spans="1:19" x14ac:dyDescent="0.3">
      <c r="A98">
        <v>1170</v>
      </c>
      <c r="B98" s="1">
        <v>45356</v>
      </c>
      <c r="C98">
        <v>2024</v>
      </c>
      <c r="D98">
        <v>1</v>
      </c>
      <c r="E98" t="s">
        <v>510</v>
      </c>
      <c r="F98" t="s">
        <v>501</v>
      </c>
      <c r="G98" t="s">
        <v>310</v>
      </c>
      <c r="H98" t="s">
        <v>109</v>
      </c>
      <c r="I98" t="s">
        <v>148</v>
      </c>
      <c r="J98" t="s">
        <v>220</v>
      </c>
      <c r="K98" t="s">
        <v>528</v>
      </c>
      <c r="L98" t="s">
        <v>529</v>
      </c>
      <c r="M98" t="s">
        <v>546</v>
      </c>
      <c r="N98">
        <v>2</v>
      </c>
      <c r="O98">
        <v>1</v>
      </c>
      <c r="P98">
        <v>2</v>
      </c>
      <c r="Q98" t="s">
        <v>538</v>
      </c>
      <c r="R98" t="s">
        <v>133</v>
      </c>
      <c r="S98" t="s">
        <v>56</v>
      </c>
    </row>
    <row r="99" spans="1:19" x14ac:dyDescent="0.3">
      <c r="A99">
        <v>1165</v>
      </c>
      <c r="B99" s="1">
        <v>45524</v>
      </c>
      <c r="C99">
        <v>2024</v>
      </c>
      <c r="D99">
        <v>3</v>
      </c>
      <c r="E99" t="s">
        <v>514</v>
      </c>
      <c r="F99" t="s">
        <v>501</v>
      </c>
      <c r="G99" t="s">
        <v>36</v>
      </c>
      <c r="H99" t="s">
        <v>522</v>
      </c>
      <c r="I99" t="s">
        <v>49</v>
      </c>
      <c r="J99" t="s">
        <v>569</v>
      </c>
      <c r="K99" t="s">
        <v>562</v>
      </c>
      <c r="L99" t="s">
        <v>529</v>
      </c>
      <c r="M99" t="s">
        <v>520</v>
      </c>
      <c r="N99">
        <v>1</v>
      </c>
      <c r="O99">
        <v>2</v>
      </c>
      <c r="P99">
        <v>2</v>
      </c>
      <c r="Q99" t="s">
        <v>564</v>
      </c>
      <c r="R99" t="s">
        <v>69</v>
      </c>
      <c r="S99" t="s">
        <v>76</v>
      </c>
    </row>
    <row r="100" spans="1:19" x14ac:dyDescent="0.3">
      <c r="A100">
        <v>1055</v>
      </c>
      <c r="B100" s="1">
        <v>45088</v>
      </c>
      <c r="C100">
        <v>2023</v>
      </c>
      <c r="D100">
        <v>2</v>
      </c>
      <c r="E100" t="s">
        <v>502</v>
      </c>
      <c r="F100" t="s">
        <v>506</v>
      </c>
      <c r="G100" t="s">
        <v>78</v>
      </c>
      <c r="H100" t="s">
        <v>91</v>
      </c>
      <c r="I100" t="s">
        <v>72</v>
      </c>
      <c r="J100" t="s">
        <v>92</v>
      </c>
      <c r="K100" t="s">
        <v>528</v>
      </c>
      <c r="L100" t="s">
        <v>529</v>
      </c>
      <c r="M100" t="s">
        <v>539</v>
      </c>
      <c r="N100">
        <v>5</v>
      </c>
      <c r="O100">
        <v>4</v>
      </c>
      <c r="P100">
        <v>20</v>
      </c>
      <c r="Q100" t="s">
        <v>531</v>
      </c>
      <c r="R100" t="s">
        <v>561</v>
      </c>
      <c r="S100" t="s">
        <v>121</v>
      </c>
    </row>
    <row r="101" spans="1:19" x14ac:dyDescent="0.3">
      <c r="A101">
        <v>1091</v>
      </c>
      <c r="B101" s="1">
        <v>45389</v>
      </c>
      <c r="C101">
        <v>2024</v>
      </c>
      <c r="D101">
        <v>2</v>
      </c>
      <c r="E101" t="s">
        <v>515</v>
      </c>
      <c r="F101" t="s">
        <v>506</v>
      </c>
      <c r="G101" t="s">
        <v>90</v>
      </c>
      <c r="H101" t="s">
        <v>511</v>
      </c>
      <c r="I101" t="s">
        <v>60</v>
      </c>
      <c r="J101" t="s">
        <v>531</v>
      </c>
      <c r="K101" t="s">
        <v>531</v>
      </c>
      <c r="L101" t="s">
        <v>533</v>
      </c>
      <c r="M101" t="s">
        <v>80</v>
      </c>
      <c r="N101">
        <v>5</v>
      </c>
      <c r="O101">
        <v>1</v>
      </c>
      <c r="P101">
        <v>5</v>
      </c>
      <c r="Q101" t="s">
        <v>554</v>
      </c>
      <c r="R101" t="s">
        <v>133</v>
      </c>
      <c r="S101" t="s">
        <v>570</v>
      </c>
    </row>
    <row r="102" spans="1:19" x14ac:dyDescent="0.3">
      <c r="A102">
        <v>1169</v>
      </c>
      <c r="B102" s="1">
        <v>45232</v>
      </c>
      <c r="C102">
        <v>2023</v>
      </c>
      <c r="D102">
        <v>4</v>
      </c>
      <c r="E102" t="s">
        <v>496</v>
      </c>
      <c r="F102" t="s">
        <v>503</v>
      </c>
      <c r="G102" t="s">
        <v>78</v>
      </c>
      <c r="H102" t="s">
        <v>135</v>
      </c>
      <c r="I102" t="s">
        <v>159</v>
      </c>
      <c r="J102" t="s">
        <v>371</v>
      </c>
      <c r="K102" t="s">
        <v>547</v>
      </c>
      <c r="L102" t="s">
        <v>537</v>
      </c>
      <c r="M102" t="s">
        <v>526</v>
      </c>
      <c r="N102">
        <v>4</v>
      </c>
      <c r="O102">
        <v>1</v>
      </c>
      <c r="P102">
        <v>4</v>
      </c>
      <c r="Q102" t="s">
        <v>521</v>
      </c>
      <c r="R102" t="s">
        <v>133</v>
      </c>
      <c r="S102" t="s">
        <v>121</v>
      </c>
    </row>
    <row r="103" spans="1:19" x14ac:dyDescent="0.3">
      <c r="A103">
        <v>1044</v>
      </c>
      <c r="B103" s="1">
        <v>45315</v>
      </c>
      <c r="C103">
        <v>2024</v>
      </c>
      <c r="D103">
        <v>1</v>
      </c>
      <c r="E103" t="s">
        <v>498</v>
      </c>
      <c r="F103" t="s">
        <v>507</v>
      </c>
      <c r="G103" t="s">
        <v>213</v>
      </c>
      <c r="H103" t="s">
        <v>17</v>
      </c>
      <c r="I103" t="s">
        <v>18</v>
      </c>
      <c r="J103" t="s">
        <v>19</v>
      </c>
      <c r="K103" t="s">
        <v>518</v>
      </c>
      <c r="L103" t="s">
        <v>533</v>
      </c>
      <c r="M103" t="s">
        <v>558</v>
      </c>
      <c r="N103">
        <v>1</v>
      </c>
      <c r="O103">
        <v>3</v>
      </c>
      <c r="P103">
        <v>3</v>
      </c>
      <c r="Q103" t="s">
        <v>531</v>
      </c>
      <c r="R103" t="s">
        <v>133</v>
      </c>
      <c r="S103" t="s">
        <v>34</v>
      </c>
    </row>
    <row r="104" spans="1:19" x14ac:dyDescent="0.3">
      <c r="A104">
        <v>1148</v>
      </c>
      <c r="B104" s="1">
        <v>45446</v>
      </c>
      <c r="C104">
        <v>2024</v>
      </c>
      <c r="D104">
        <v>2</v>
      </c>
      <c r="E104" t="s">
        <v>502</v>
      </c>
      <c r="F104" t="s">
        <v>508</v>
      </c>
      <c r="G104" t="s">
        <v>78</v>
      </c>
      <c r="H104" t="s">
        <v>17</v>
      </c>
      <c r="I104" t="s">
        <v>531</v>
      </c>
      <c r="J104" t="s">
        <v>531</v>
      </c>
      <c r="K104" t="s">
        <v>559</v>
      </c>
      <c r="L104" t="s">
        <v>525</v>
      </c>
      <c r="M104" t="s">
        <v>520</v>
      </c>
      <c r="N104">
        <v>3</v>
      </c>
      <c r="O104">
        <v>5</v>
      </c>
      <c r="P104">
        <v>15</v>
      </c>
      <c r="Q104" t="s">
        <v>538</v>
      </c>
      <c r="R104" t="s">
        <v>133</v>
      </c>
      <c r="S104" t="s">
        <v>34</v>
      </c>
    </row>
    <row r="105" spans="1:19" x14ac:dyDescent="0.3">
      <c r="A105">
        <v>1158</v>
      </c>
      <c r="B105" s="1">
        <v>45107</v>
      </c>
      <c r="C105">
        <v>2023</v>
      </c>
      <c r="D105">
        <v>2</v>
      </c>
      <c r="E105" t="s">
        <v>502</v>
      </c>
      <c r="F105" t="s">
        <v>499</v>
      </c>
      <c r="G105" t="s">
        <v>517</v>
      </c>
      <c r="H105" t="s">
        <v>17</v>
      </c>
      <c r="I105" t="s">
        <v>148</v>
      </c>
      <c r="J105" t="s">
        <v>149</v>
      </c>
      <c r="K105" t="s">
        <v>532</v>
      </c>
      <c r="L105" t="s">
        <v>550</v>
      </c>
      <c r="M105" t="s">
        <v>551</v>
      </c>
      <c r="N105">
        <v>3</v>
      </c>
      <c r="O105">
        <v>3</v>
      </c>
      <c r="P105">
        <v>9</v>
      </c>
      <c r="Q105" t="s">
        <v>538</v>
      </c>
      <c r="R105" t="s">
        <v>45</v>
      </c>
      <c r="S105" t="s">
        <v>34</v>
      </c>
    </row>
    <row r="106" spans="1:19" x14ac:dyDescent="0.3">
      <c r="A106">
        <v>1060</v>
      </c>
      <c r="B106" s="1">
        <v>45539</v>
      </c>
      <c r="C106">
        <v>2024</v>
      </c>
      <c r="D106">
        <v>3</v>
      </c>
      <c r="E106" t="s">
        <v>516</v>
      </c>
      <c r="F106" t="s">
        <v>507</v>
      </c>
      <c r="G106" t="s">
        <v>90</v>
      </c>
      <c r="H106" t="s">
        <v>109</v>
      </c>
      <c r="I106" t="s">
        <v>148</v>
      </c>
      <c r="J106" t="s">
        <v>220</v>
      </c>
      <c r="K106" t="s">
        <v>562</v>
      </c>
      <c r="L106" t="s">
        <v>543</v>
      </c>
      <c r="M106" t="s">
        <v>546</v>
      </c>
      <c r="N106">
        <v>4</v>
      </c>
      <c r="O106">
        <v>5</v>
      </c>
      <c r="P106">
        <v>20</v>
      </c>
      <c r="Q106" t="s">
        <v>535</v>
      </c>
      <c r="R106" t="s">
        <v>133</v>
      </c>
      <c r="S106" t="s">
        <v>56</v>
      </c>
    </row>
    <row r="107" spans="1:19" x14ac:dyDescent="0.3">
      <c r="A107">
        <v>1016</v>
      </c>
      <c r="B107" s="1">
        <v>45511</v>
      </c>
      <c r="C107">
        <v>2024</v>
      </c>
      <c r="D107">
        <v>3</v>
      </c>
      <c r="E107" t="s">
        <v>514</v>
      </c>
      <c r="F107" t="s">
        <v>507</v>
      </c>
      <c r="G107" t="s">
        <v>114</v>
      </c>
      <c r="H107" t="s">
        <v>109</v>
      </c>
      <c r="I107" t="s">
        <v>148</v>
      </c>
      <c r="J107" t="s">
        <v>220</v>
      </c>
      <c r="K107" t="s">
        <v>547</v>
      </c>
      <c r="L107" t="s">
        <v>533</v>
      </c>
      <c r="M107" t="s">
        <v>558</v>
      </c>
      <c r="N107">
        <v>4</v>
      </c>
      <c r="O107">
        <v>1</v>
      </c>
      <c r="P107">
        <v>4</v>
      </c>
      <c r="Q107" t="s">
        <v>535</v>
      </c>
      <c r="R107" t="s">
        <v>45</v>
      </c>
      <c r="S107" t="s">
        <v>56</v>
      </c>
    </row>
    <row r="108" spans="1:19" x14ac:dyDescent="0.3">
      <c r="A108">
        <v>1054</v>
      </c>
      <c r="B108" s="1">
        <v>45475</v>
      </c>
      <c r="C108">
        <v>2024</v>
      </c>
      <c r="D108">
        <v>3</v>
      </c>
      <c r="E108" t="s">
        <v>500</v>
      </c>
      <c r="F108" t="s">
        <v>501</v>
      </c>
      <c r="G108" t="s">
        <v>213</v>
      </c>
      <c r="H108" t="s">
        <v>109</v>
      </c>
      <c r="I108" t="s">
        <v>531</v>
      </c>
      <c r="J108" t="s">
        <v>531</v>
      </c>
      <c r="K108" t="s">
        <v>547</v>
      </c>
      <c r="L108" t="s">
        <v>525</v>
      </c>
      <c r="M108" t="s">
        <v>546</v>
      </c>
      <c r="N108">
        <v>4</v>
      </c>
      <c r="O108">
        <v>5</v>
      </c>
      <c r="P108">
        <v>20</v>
      </c>
      <c r="Q108" t="s">
        <v>554</v>
      </c>
      <c r="R108" t="s">
        <v>69</v>
      </c>
      <c r="S108" t="s">
        <v>34</v>
      </c>
    </row>
    <row r="109" spans="1:19" x14ac:dyDescent="0.3">
      <c r="A109">
        <v>1021</v>
      </c>
      <c r="B109" s="1">
        <v>44997</v>
      </c>
      <c r="C109">
        <v>2023</v>
      </c>
      <c r="D109">
        <v>1</v>
      </c>
      <c r="E109" t="s">
        <v>510</v>
      </c>
      <c r="F109" t="s">
        <v>506</v>
      </c>
      <c r="G109" t="s">
        <v>36</v>
      </c>
      <c r="H109" t="s">
        <v>102</v>
      </c>
      <c r="I109" t="s">
        <v>148</v>
      </c>
      <c r="J109" t="s">
        <v>195</v>
      </c>
      <c r="K109" t="s">
        <v>547</v>
      </c>
      <c r="L109" t="s">
        <v>529</v>
      </c>
      <c r="M109" t="s">
        <v>546</v>
      </c>
      <c r="N109">
        <v>5</v>
      </c>
      <c r="O109">
        <v>2</v>
      </c>
      <c r="P109">
        <v>10</v>
      </c>
      <c r="Q109" t="s">
        <v>535</v>
      </c>
      <c r="R109" t="s">
        <v>69</v>
      </c>
      <c r="S109" t="s">
        <v>56</v>
      </c>
    </row>
    <row r="110" spans="1:19" x14ac:dyDescent="0.3">
      <c r="A110">
        <v>1125</v>
      </c>
      <c r="B110" s="1">
        <v>45402</v>
      </c>
      <c r="C110">
        <v>2024</v>
      </c>
      <c r="D110">
        <v>2</v>
      </c>
      <c r="E110" t="s">
        <v>515</v>
      </c>
      <c r="F110" t="s">
        <v>497</v>
      </c>
      <c r="G110" t="s">
        <v>213</v>
      </c>
      <c r="H110" t="s">
        <v>91</v>
      </c>
      <c r="I110" t="s">
        <v>60</v>
      </c>
      <c r="J110" t="s">
        <v>560</v>
      </c>
      <c r="K110" t="s">
        <v>531</v>
      </c>
      <c r="L110" t="s">
        <v>533</v>
      </c>
      <c r="M110" t="s">
        <v>520</v>
      </c>
      <c r="O110">
        <v>3</v>
      </c>
      <c r="Q110" t="s">
        <v>538</v>
      </c>
      <c r="R110" t="s">
        <v>133</v>
      </c>
      <c r="S110" t="s">
        <v>121</v>
      </c>
    </row>
    <row r="111" spans="1:19" x14ac:dyDescent="0.3">
      <c r="A111">
        <v>1077</v>
      </c>
      <c r="B111" s="1">
        <v>45609</v>
      </c>
      <c r="C111">
        <v>2024</v>
      </c>
      <c r="D111">
        <v>4</v>
      </c>
      <c r="E111" t="s">
        <v>496</v>
      </c>
      <c r="F111" t="s">
        <v>507</v>
      </c>
      <c r="G111" t="s">
        <v>114</v>
      </c>
      <c r="H111" t="s">
        <v>109</v>
      </c>
      <c r="I111" t="s">
        <v>115</v>
      </c>
      <c r="J111" t="s">
        <v>408</v>
      </c>
      <c r="K111" t="s">
        <v>524</v>
      </c>
      <c r="L111" t="s">
        <v>519</v>
      </c>
      <c r="M111" t="s">
        <v>534</v>
      </c>
      <c r="O111">
        <v>5</v>
      </c>
      <c r="Q111" t="s">
        <v>521</v>
      </c>
      <c r="R111" t="s">
        <v>133</v>
      </c>
      <c r="S111" t="s">
        <v>34</v>
      </c>
    </row>
    <row r="112" spans="1:19" x14ac:dyDescent="0.3">
      <c r="A112">
        <v>1108</v>
      </c>
      <c r="B112" s="1">
        <v>45002</v>
      </c>
      <c r="C112">
        <v>2023</v>
      </c>
      <c r="D112">
        <v>1</v>
      </c>
      <c r="E112" t="s">
        <v>510</v>
      </c>
      <c r="F112" t="s">
        <v>499</v>
      </c>
      <c r="G112" t="s">
        <v>114</v>
      </c>
      <c r="H112" t="s">
        <v>17</v>
      </c>
      <c r="I112" t="s">
        <v>60</v>
      </c>
      <c r="J112" t="s">
        <v>394</v>
      </c>
      <c r="K112" t="s">
        <v>528</v>
      </c>
      <c r="L112" t="s">
        <v>540</v>
      </c>
      <c r="M112" t="s">
        <v>551</v>
      </c>
      <c r="N112">
        <v>3</v>
      </c>
      <c r="O112">
        <v>1</v>
      </c>
      <c r="P112">
        <v>3</v>
      </c>
      <c r="Q112" t="s">
        <v>538</v>
      </c>
      <c r="R112" t="s">
        <v>561</v>
      </c>
      <c r="S112" t="s">
        <v>56</v>
      </c>
    </row>
    <row r="113" spans="1:19" x14ac:dyDescent="0.3">
      <c r="A113">
        <v>1163</v>
      </c>
      <c r="B113" s="1">
        <v>45416</v>
      </c>
      <c r="C113">
        <v>2024</v>
      </c>
      <c r="D113">
        <v>2</v>
      </c>
      <c r="E113" t="s">
        <v>509</v>
      </c>
      <c r="F113" t="s">
        <v>497</v>
      </c>
      <c r="G113" t="s">
        <v>114</v>
      </c>
      <c r="H113" t="s">
        <v>511</v>
      </c>
      <c r="I113" t="s">
        <v>18</v>
      </c>
      <c r="J113" t="s">
        <v>531</v>
      </c>
      <c r="K113" t="s">
        <v>547</v>
      </c>
      <c r="L113" t="s">
        <v>550</v>
      </c>
      <c r="M113" t="s">
        <v>539</v>
      </c>
      <c r="N113">
        <v>4</v>
      </c>
      <c r="O113">
        <v>4</v>
      </c>
      <c r="P113">
        <v>16</v>
      </c>
      <c r="Q113" t="s">
        <v>521</v>
      </c>
      <c r="R113" t="s">
        <v>69</v>
      </c>
      <c r="S113" t="s">
        <v>121</v>
      </c>
    </row>
    <row r="114" spans="1:19" x14ac:dyDescent="0.3">
      <c r="A114">
        <v>1017</v>
      </c>
      <c r="B114" s="1">
        <v>44982</v>
      </c>
      <c r="C114">
        <v>2023</v>
      </c>
      <c r="D114">
        <v>1</v>
      </c>
      <c r="E114" t="s">
        <v>512</v>
      </c>
      <c r="F114" t="s">
        <v>497</v>
      </c>
      <c r="G114" t="s">
        <v>310</v>
      </c>
      <c r="H114" t="s">
        <v>135</v>
      </c>
      <c r="I114" t="s">
        <v>531</v>
      </c>
      <c r="J114" t="s">
        <v>531</v>
      </c>
      <c r="K114" t="s">
        <v>518</v>
      </c>
      <c r="L114" t="s">
        <v>533</v>
      </c>
      <c r="M114" t="s">
        <v>534</v>
      </c>
      <c r="N114">
        <v>5</v>
      </c>
      <c r="O114">
        <v>3</v>
      </c>
      <c r="P114">
        <v>15</v>
      </c>
      <c r="Q114" t="s">
        <v>535</v>
      </c>
      <c r="R114" t="s">
        <v>45</v>
      </c>
      <c r="S114" t="s">
        <v>121</v>
      </c>
    </row>
    <row r="115" spans="1:19" x14ac:dyDescent="0.3">
      <c r="A115">
        <v>1048</v>
      </c>
      <c r="B115" s="1">
        <v>45330</v>
      </c>
      <c r="C115">
        <v>2024</v>
      </c>
      <c r="D115">
        <v>1</v>
      </c>
      <c r="E115" t="s">
        <v>512</v>
      </c>
      <c r="F115" t="s">
        <v>503</v>
      </c>
      <c r="G115" t="s">
        <v>123</v>
      </c>
      <c r="H115" t="s">
        <v>522</v>
      </c>
      <c r="I115" t="s">
        <v>25</v>
      </c>
      <c r="J115" t="s">
        <v>575</v>
      </c>
      <c r="K115" t="s">
        <v>553</v>
      </c>
      <c r="L115" t="s">
        <v>540</v>
      </c>
      <c r="M115" t="s">
        <v>534</v>
      </c>
      <c r="N115">
        <v>5</v>
      </c>
      <c r="Q115" t="s">
        <v>554</v>
      </c>
      <c r="R115" t="s">
        <v>561</v>
      </c>
      <c r="S115" t="s">
        <v>34</v>
      </c>
    </row>
    <row r="116" spans="1:19" x14ac:dyDescent="0.3">
      <c r="A116">
        <v>1151</v>
      </c>
      <c r="B116" s="1">
        <v>45347</v>
      </c>
      <c r="C116">
        <v>2024</v>
      </c>
      <c r="D116">
        <v>1</v>
      </c>
      <c r="E116" t="s">
        <v>512</v>
      </c>
      <c r="F116" t="s">
        <v>506</v>
      </c>
      <c r="G116" t="s">
        <v>504</v>
      </c>
      <c r="H116" t="s">
        <v>17</v>
      </c>
      <c r="I116" t="s">
        <v>531</v>
      </c>
      <c r="J116" t="s">
        <v>531</v>
      </c>
      <c r="K116" t="s">
        <v>531</v>
      </c>
      <c r="L116" t="s">
        <v>529</v>
      </c>
      <c r="M116" t="s">
        <v>526</v>
      </c>
      <c r="N116">
        <v>3</v>
      </c>
      <c r="O116">
        <v>3</v>
      </c>
      <c r="P116">
        <v>9</v>
      </c>
      <c r="Q116" t="s">
        <v>554</v>
      </c>
      <c r="R116" t="s">
        <v>45</v>
      </c>
      <c r="S116" t="s">
        <v>34</v>
      </c>
    </row>
    <row r="117" spans="1:19" x14ac:dyDescent="0.3">
      <c r="A117">
        <v>1120</v>
      </c>
      <c r="B117" s="1">
        <v>45410</v>
      </c>
      <c r="C117">
        <v>2024</v>
      </c>
      <c r="D117">
        <v>2</v>
      </c>
      <c r="E117" t="s">
        <v>515</v>
      </c>
      <c r="F117" t="s">
        <v>506</v>
      </c>
      <c r="G117" t="s">
        <v>114</v>
      </c>
      <c r="H117" t="s">
        <v>17</v>
      </c>
      <c r="I117" t="s">
        <v>103</v>
      </c>
      <c r="J117" t="s">
        <v>402</v>
      </c>
      <c r="K117" t="s">
        <v>528</v>
      </c>
      <c r="L117" t="s">
        <v>529</v>
      </c>
      <c r="M117" t="s">
        <v>544</v>
      </c>
      <c r="N117">
        <v>3</v>
      </c>
      <c r="O117">
        <v>1</v>
      </c>
      <c r="P117">
        <v>3</v>
      </c>
      <c r="Q117" t="s">
        <v>531</v>
      </c>
      <c r="R117" t="s">
        <v>45</v>
      </c>
      <c r="S117" t="s">
        <v>121</v>
      </c>
    </row>
    <row r="118" spans="1:19" x14ac:dyDescent="0.3">
      <c r="A118">
        <v>1022</v>
      </c>
      <c r="B118" s="1">
        <v>45250</v>
      </c>
      <c r="C118">
        <v>2023</v>
      </c>
      <c r="D118">
        <v>4</v>
      </c>
      <c r="E118" t="s">
        <v>496</v>
      </c>
      <c r="F118" t="s">
        <v>508</v>
      </c>
      <c r="G118" t="s">
        <v>213</v>
      </c>
      <c r="H118" t="s">
        <v>102</v>
      </c>
      <c r="I118" t="s">
        <v>531</v>
      </c>
      <c r="J118" t="s">
        <v>531</v>
      </c>
      <c r="K118" t="s">
        <v>518</v>
      </c>
      <c r="L118" t="s">
        <v>537</v>
      </c>
      <c r="M118" t="s">
        <v>551</v>
      </c>
      <c r="N118">
        <v>3</v>
      </c>
      <c r="Q118" t="s">
        <v>527</v>
      </c>
      <c r="R118" t="s">
        <v>45</v>
      </c>
      <c r="S118" t="s">
        <v>34</v>
      </c>
    </row>
    <row r="119" spans="1:19" x14ac:dyDescent="0.3">
      <c r="A119">
        <v>1011</v>
      </c>
      <c r="B119" s="1">
        <v>45368</v>
      </c>
      <c r="C119">
        <v>2024</v>
      </c>
      <c r="D119">
        <v>1</v>
      </c>
      <c r="E119" t="s">
        <v>510</v>
      </c>
      <c r="F119" t="s">
        <v>506</v>
      </c>
      <c r="G119" t="s">
        <v>78</v>
      </c>
      <c r="H119" t="s">
        <v>522</v>
      </c>
      <c r="I119" t="s">
        <v>159</v>
      </c>
      <c r="J119" t="s">
        <v>557</v>
      </c>
      <c r="K119" t="s">
        <v>547</v>
      </c>
      <c r="L119" t="s">
        <v>529</v>
      </c>
      <c r="M119" t="s">
        <v>544</v>
      </c>
      <c r="N119">
        <v>2</v>
      </c>
      <c r="O119">
        <v>3</v>
      </c>
      <c r="P119">
        <v>6</v>
      </c>
      <c r="Q119" t="s">
        <v>538</v>
      </c>
      <c r="R119" t="s">
        <v>133</v>
      </c>
      <c r="S119" t="s">
        <v>56</v>
      </c>
    </row>
    <row r="120" spans="1:19" x14ac:dyDescent="0.3">
      <c r="A120">
        <v>1131</v>
      </c>
      <c r="B120" s="1">
        <v>45387</v>
      </c>
      <c r="C120">
        <v>2024</v>
      </c>
      <c r="D120">
        <v>2</v>
      </c>
      <c r="E120" t="s">
        <v>515</v>
      </c>
      <c r="F120" t="s">
        <v>499</v>
      </c>
      <c r="G120" t="s">
        <v>123</v>
      </c>
      <c r="H120" t="s">
        <v>17</v>
      </c>
      <c r="I120" t="s">
        <v>148</v>
      </c>
      <c r="J120" t="s">
        <v>149</v>
      </c>
      <c r="K120" t="s">
        <v>528</v>
      </c>
      <c r="L120" t="s">
        <v>556</v>
      </c>
      <c r="M120" t="s">
        <v>526</v>
      </c>
      <c r="N120">
        <v>1</v>
      </c>
      <c r="Q120" t="s">
        <v>554</v>
      </c>
      <c r="R120" t="s">
        <v>133</v>
      </c>
      <c r="S120" t="s">
        <v>76</v>
      </c>
    </row>
    <row r="121" spans="1:19" x14ac:dyDescent="0.3">
      <c r="A121">
        <v>1031</v>
      </c>
      <c r="B121" s="1">
        <v>45336</v>
      </c>
      <c r="C121">
        <v>2024</v>
      </c>
      <c r="D121">
        <v>1</v>
      </c>
      <c r="E121" t="s">
        <v>512</v>
      </c>
      <c r="F121" t="s">
        <v>507</v>
      </c>
      <c r="G121" t="s">
        <v>58</v>
      </c>
      <c r="H121" t="s">
        <v>102</v>
      </c>
      <c r="I121" t="s">
        <v>60</v>
      </c>
      <c r="J121" t="s">
        <v>61</v>
      </c>
      <c r="K121" t="s">
        <v>532</v>
      </c>
      <c r="L121" t="s">
        <v>525</v>
      </c>
      <c r="M121" t="s">
        <v>526</v>
      </c>
      <c r="N121">
        <v>5</v>
      </c>
      <c r="O121">
        <v>5</v>
      </c>
      <c r="P121">
        <v>25</v>
      </c>
      <c r="Q121" t="s">
        <v>531</v>
      </c>
      <c r="R121" t="s">
        <v>45</v>
      </c>
      <c r="S121" t="s">
        <v>56</v>
      </c>
    </row>
    <row r="122" spans="1:19" x14ac:dyDescent="0.3">
      <c r="A122">
        <v>1034</v>
      </c>
      <c r="B122" s="1">
        <v>45315</v>
      </c>
      <c r="C122">
        <v>2024</v>
      </c>
      <c r="D122">
        <v>1</v>
      </c>
      <c r="E122" t="s">
        <v>498</v>
      </c>
      <c r="F122" t="s">
        <v>507</v>
      </c>
      <c r="G122" t="s">
        <v>504</v>
      </c>
      <c r="H122" t="s">
        <v>511</v>
      </c>
      <c r="I122" t="s">
        <v>72</v>
      </c>
      <c r="J122" t="s">
        <v>531</v>
      </c>
      <c r="K122" t="s">
        <v>547</v>
      </c>
      <c r="L122" t="s">
        <v>555</v>
      </c>
      <c r="M122" t="s">
        <v>544</v>
      </c>
      <c r="N122">
        <v>4</v>
      </c>
      <c r="O122">
        <v>3</v>
      </c>
      <c r="P122">
        <v>12</v>
      </c>
      <c r="Q122" t="s">
        <v>531</v>
      </c>
      <c r="R122" t="s">
        <v>133</v>
      </c>
      <c r="S122" t="s">
        <v>121</v>
      </c>
    </row>
    <row r="123" spans="1:19" x14ac:dyDescent="0.3">
      <c r="A123">
        <v>1149</v>
      </c>
      <c r="B123" s="1">
        <v>45453</v>
      </c>
      <c r="C123">
        <v>2024</v>
      </c>
      <c r="D123">
        <v>2</v>
      </c>
      <c r="E123" t="s">
        <v>502</v>
      </c>
      <c r="F123" t="s">
        <v>508</v>
      </c>
      <c r="G123" t="s">
        <v>504</v>
      </c>
      <c r="H123" t="s">
        <v>17</v>
      </c>
      <c r="I123" t="s">
        <v>72</v>
      </c>
      <c r="J123" t="s">
        <v>79</v>
      </c>
      <c r="K123" t="s">
        <v>553</v>
      </c>
      <c r="L123" t="s">
        <v>533</v>
      </c>
      <c r="M123" t="s">
        <v>546</v>
      </c>
      <c r="N123">
        <v>3</v>
      </c>
      <c r="O123">
        <v>5</v>
      </c>
      <c r="P123">
        <v>15</v>
      </c>
      <c r="Q123" t="s">
        <v>535</v>
      </c>
      <c r="R123" t="s">
        <v>561</v>
      </c>
      <c r="S123" t="s">
        <v>56</v>
      </c>
    </row>
    <row r="124" spans="1:19" x14ac:dyDescent="0.3">
      <c r="A124">
        <v>1172</v>
      </c>
      <c r="B124" s="1">
        <v>45234</v>
      </c>
      <c r="C124">
        <v>2023</v>
      </c>
      <c r="D124">
        <v>4</v>
      </c>
      <c r="E124" t="s">
        <v>496</v>
      </c>
      <c r="F124" t="s">
        <v>497</v>
      </c>
      <c r="G124" t="s">
        <v>310</v>
      </c>
      <c r="H124" t="s">
        <v>522</v>
      </c>
      <c r="I124" t="s">
        <v>103</v>
      </c>
      <c r="J124" t="s">
        <v>576</v>
      </c>
      <c r="K124" t="s">
        <v>532</v>
      </c>
      <c r="L124" t="s">
        <v>550</v>
      </c>
      <c r="M124" t="s">
        <v>526</v>
      </c>
      <c r="N124">
        <v>3</v>
      </c>
      <c r="O124">
        <v>1</v>
      </c>
      <c r="P124">
        <v>3</v>
      </c>
      <c r="Q124" t="s">
        <v>527</v>
      </c>
      <c r="R124" t="s">
        <v>69</v>
      </c>
      <c r="S124" t="s">
        <v>570</v>
      </c>
    </row>
    <row r="125" spans="1:19" x14ac:dyDescent="0.3">
      <c r="A125">
        <v>1001</v>
      </c>
      <c r="B125" s="1">
        <v>45163</v>
      </c>
      <c r="C125">
        <v>2023</v>
      </c>
      <c r="D125">
        <v>3</v>
      </c>
      <c r="E125" t="s">
        <v>514</v>
      </c>
      <c r="F125" t="s">
        <v>499</v>
      </c>
      <c r="G125" t="s">
        <v>170</v>
      </c>
      <c r="H125" t="s">
        <v>102</v>
      </c>
      <c r="I125" t="s">
        <v>148</v>
      </c>
      <c r="J125" t="s">
        <v>195</v>
      </c>
      <c r="K125" t="s">
        <v>524</v>
      </c>
      <c r="L125" t="s">
        <v>567</v>
      </c>
      <c r="M125" t="s">
        <v>530</v>
      </c>
      <c r="N125">
        <v>3</v>
      </c>
      <c r="O125">
        <v>3</v>
      </c>
      <c r="P125">
        <v>9</v>
      </c>
      <c r="Q125" t="s">
        <v>538</v>
      </c>
      <c r="R125" t="s">
        <v>69</v>
      </c>
      <c r="S125" t="s">
        <v>570</v>
      </c>
    </row>
    <row r="126" spans="1:19" x14ac:dyDescent="0.3">
      <c r="A126">
        <v>1035</v>
      </c>
      <c r="B126" s="1">
        <v>45379</v>
      </c>
      <c r="C126">
        <v>2024</v>
      </c>
      <c r="D126">
        <v>1</v>
      </c>
      <c r="E126" t="s">
        <v>510</v>
      </c>
      <c r="F126" t="s">
        <v>503</v>
      </c>
      <c r="G126" t="s">
        <v>147</v>
      </c>
      <c r="H126" t="s">
        <v>17</v>
      </c>
      <c r="I126" t="s">
        <v>148</v>
      </c>
      <c r="J126" t="s">
        <v>149</v>
      </c>
      <c r="K126" t="s">
        <v>532</v>
      </c>
      <c r="L126" t="s">
        <v>533</v>
      </c>
      <c r="M126" t="s">
        <v>526</v>
      </c>
      <c r="O126">
        <v>5</v>
      </c>
      <c r="Q126" t="s">
        <v>538</v>
      </c>
      <c r="R126" t="s">
        <v>133</v>
      </c>
      <c r="S126" t="s">
        <v>34</v>
      </c>
    </row>
    <row r="127" spans="1:19" x14ac:dyDescent="0.3">
      <c r="A127">
        <v>1101</v>
      </c>
      <c r="B127" s="1">
        <v>45271</v>
      </c>
      <c r="C127">
        <v>2023</v>
      </c>
      <c r="D127">
        <v>4</v>
      </c>
      <c r="E127" t="s">
        <v>513</v>
      </c>
      <c r="F127" t="s">
        <v>508</v>
      </c>
      <c r="G127" t="s">
        <v>90</v>
      </c>
      <c r="H127" t="s">
        <v>135</v>
      </c>
      <c r="I127" t="s">
        <v>103</v>
      </c>
      <c r="J127" t="s">
        <v>420</v>
      </c>
      <c r="K127" t="s">
        <v>528</v>
      </c>
      <c r="L127" t="s">
        <v>529</v>
      </c>
      <c r="M127" t="s">
        <v>526</v>
      </c>
      <c r="N127">
        <v>3</v>
      </c>
      <c r="O127">
        <v>1</v>
      </c>
      <c r="P127">
        <v>3</v>
      </c>
      <c r="Q127" t="s">
        <v>531</v>
      </c>
      <c r="R127" t="s">
        <v>45</v>
      </c>
      <c r="S127" t="s">
        <v>121</v>
      </c>
    </row>
    <row r="128" spans="1:19" x14ac:dyDescent="0.3">
      <c r="A128">
        <v>1150</v>
      </c>
      <c r="B128" s="1">
        <v>45561</v>
      </c>
      <c r="C128">
        <v>2024</v>
      </c>
      <c r="D128">
        <v>3</v>
      </c>
      <c r="E128" t="s">
        <v>516</v>
      </c>
      <c r="F128" t="s">
        <v>503</v>
      </c>
      <c r="G128" t="s">
        <v>170</v>
      </c>
      <c r="H128" t="s">
        <v>102</v>
      </c>
      <c r="I128" t="s">
        <v>148</v>
      </c>
      <c r="J128" t="s">
        <v>195</v>
      </c>
      <c r="K128" t="s">
        <v>528</v>
      </c>
      <c r="L128" t="s">
        <v>556</v>
      </c>
      <c r="M128" t="s">
        <v>534</v>
      </c>
      <c r="N128">
        <v>3</v>
      </c>
      <c r="O128">
        <v>1</v>
      </c>
      <c r="P128">
        <v>3</v>
      </c>
      <c r="Q128" t="s">
        <v>535</v>
      </c>
      <c r="R128" t="s">
        <v>45</v>
      </c>
      <c r="S128" t="s">
        <v>570</v>
      </c>
    </row>
    <row r="129" spans="1:19" x14ac:dyDescent="0.3">
      <c r="A129">
        <v>1162</v>
      </c>
      <c r="B129" s="1">
        <v>45048</v>
      </c>
      <c r="C129">
        <v>2023</v>
      </c>
      <c r="D129">
        <v>2</v>
      </c>
      <c r="E129" t="s">
        <v>509</v>
      </c>
      <c r="F129" t="s">
        <v>501</v>
      </c>
      <c r="G129" t="s">
        <v>58</v>
      </c>
      <c r="H129" t="s">
        <v>91</v>
      </c>
      <c r="I129" t="s">
        <v>25</v>
      </c>
      <c r="J129" t="s">
        <v>296</v>
      </c>
      <c r="K129" t="s">
        <v>553</v>
      </c>
      <c r="L129" t="s">
        <v>555</v>
      </c>
      <c r="M129" t="s">
        <v>551</v>
      </c>
      <c r="N129">
        <v>5</v>
      </c>
      <c r="O129">
        <v>4</v>
      </c>
      <c r="P129">
        <v>20</v>
      </c>
      <c r="Q129" t="s">
        <v>538</v>
      </c>
      <c r="R129" t="s">
        <v>561</v>
      </c>
      <c r="S129" t="s">
        <v>34</v>
      </c>
    </row>
    <row r="130" spans="1:19" x14ac:dyDescent="0.3">
      <c r="A130">
        <v>1007</v>
      </c>
      <c r="B130" s="1">
        <v>45504</v>
      </c>
      <c r="C130">
        <v>2024</v>
      </c>
      <c r="D130">
        <v>3</v>
      </c>
      <c r="E130" t="s">
        <v>500</v>
      </c>
      <c r="F130" t="s">
        <v>507</v>
      </c>
      <c r="G130" t="s">
        <v>83</v>
      </c>
      <c r="H130" t="s">
        <v>135</v>
      </c>
      <c r="I130" t="s">
        <v>115</v>
      </c>
      <c r="J130" t="s">
        <v>308</v>
      </c>
      <c r="K130" t="s">
        <v>532</v>
      </c>
      <c r="L130" t="s">
        <v>555</v>
      </c>
      <c r="M130" t="s">
        <v>530</v>
      </c>
      <c r="N130">
        <v>3</v>
      </c>
      <c r="O130">
        <v>2</v>
      </c>
      <c r="P130">
        <v>6</v>
      </c>
      <c r="Q130" t="s">
        <v>527</v>
      </c>
      <c r="R130" t="s">
        <v>561</v>
      </c>
      <c r="S130" t="s">
        <v>121</v>
      </c>
    </row>
    <row r="131" spans="1:19" x14ac:dyDescent="0.3">
      <c r="A131">
        <v>1036</v>
      </c>
      <c r="B131" s="1">
        <v>45130</v>
      </c>
      <c r="C131">
        <v>2023</v>
      </c>
      <c r="D131">
        <v>3</v>
      </c>
      <c r="E131" t="s">
        <v>500</v>
      </c>
      <c r="F131" t="s">
        <v>506</v>
      </c>
      <c r="G131" t="s">
        <v>310</v>
      </c>
      <c r="H131" t="s">
        <v>102</v>
      </c>
      <c r="I131" t="s">
        <v>148</v>
      </c>
      <c r="J131" t="s">
        <v>195</v>
      </c>
      <c r="K131" t="s">
        <v>547</v>
      </c>
      <c r="L131" t="s">
        <v>556</v>
      </c>
      <c r="M131" t="s">
        <v>534</v>
      </c>
      <c r="N131">
        <v>4</v>
      </c>
      <c r="O131">
        <v>5</v>
      </c>
      <c r="P131">
        <v>20</v>
      </c>
      <c r="Q131" t="s">
        <v>521</v>
      </c>
      <c r="R131" t="s">
        <v>133</v>
      </c>
      <c r="S131" t="s">
        <v>121</v>
      </c>
    </row>
    <row r="132" spans="1:19" x14ac:dyDescent="0.3">
      <c r="A132">
        <v>1072</v>
      </c>
      <c r="B132" s="1">
        <v>44964</v>
      </c>
      <c r="C132">
        <v>2023</v>
      </c>
      <c r="D132">
        <v>1</v>
      </c>
      <c r="E132" t="s">
        <v>512</v>
      </c>
      <c r="F132" t="s">
        <v>501</v>
      </c>
      <c r="G132" t="s">
        <v>147</v>
      </c>
      <c r="H132" t="s">
        <v>511</v>
      </c>
      <c r="I132" t="s">
        <v>18</v>
      </c>
      <c r="J132" t="s">
        <v>565</v>
      </c>
      <c r="K132" t="s">
        <v>542</v>
      </c>
      <c r="L132" t="s">
        <v>529</v>
      </c>
      <c r="M132" t="s">
        <v>520</v>
      </c>
      <c r="O132">
        <v>3</v>
      </c>
      <c r="Q132" t="s">
        <v>538</v>
      </c>
      <c r="R132" t="s">
        <v>69</v>
      </c>
      <c r="S132" t="s">
        <v>570</v>
      </c>
    </row>
    <row r="133" spans="1:19" x14ac:dyDescent="0.3">
      <c r="A133">
        <v>1020</v>
      </c>
      <c r="B133" s="1">
        <v>45027</v>
      </c>
      <c r="C133">
        <v>2023</v>
      </c>
      <c r="D133">
        <v>2</v>
      </c>
      <c r="E133" t="s">
        <v>515</v>
      </c>
      <c r="F133" t="s">
        <v>501</v>
      </c>
      <c r="G133" t="s">
        <v>90</v>
      </c>
      <c r="H133" t="s">
        <v>522</v>
      </c>
      <c r="I133" t="s">
        <v>531</v>
      </c>
      <c r="J133" t="s">
        <v>531</v>
      </c>
      <c r="K133" t="s">
        <v>524</v>
      </c>
      <c r="L133" t="s">
        <v>555</v>
      </c>
      <c r="M133" t="s">
        <v>546</v>
      </c>
      <c r="N133">
        <v>5</v>
      </c>
      <c r="O133">
        <v>3</v>
      </c>
      <c r="P133">
        <v>15</v>
      </c>
      <c r="Q133" t="s">
        <v>535</v>
      </c>
      <c r="R133" t="s">
        <v>133</v>
      </c>
      <c r="S133" t="s">
        <v>34</v>
      </c>
    </row>
    <row r="134" spans="1:19" x14ac:dyDescent="0.3">
      <c r="A134">
        <v>1094</v>
      </c>
      <c r="B134" s="1">
        <v>45391</v>
      </c>
      <c r="C134">
        <v>2024</v>
      </c>
      <c r="D134">
        <v>2</v>
      </c>
      <c r="E134" t="s">
        <v>515</v>
      </c>
      <c r="F134" t="s">
        <v>501</v>
      </c>
      <c r="G134" t="s">
        <v>517</v>
      </c>
      <c r="H134" t="s">
        <v>102</v>
      </c>
      <c r="I134" t="s">
        <v>18</v>
      </c>
      <c r="J134" t="s">
        <v>313</v>
      </c>
      <c r="K134" t="s">
        <v>547</v>
      </c>
      <c r="L134" t="s">
        <v>540</v>
      </c>
      <c r="M134" t="s">
        <v>80</v>
      </c>
      <c r="N134">
        <v>4</v>
      </c>
      <c r="O134">
        <v>3</v>
      </c>
      <c r="P134">
        <v>12</v>
      </c>
      <c r="Q134" t="s">
        <v>531</v>
      </c>
      <c r="R134" t="s">
        <v>133</v>
      </c>
      <c r="S134" t="s">
        <v>121</v>
      </c>
    </row>
    <row r="135" spans="1:19" x14ac:dyDescent="0.3">
      <c r="A135">
        <v>1160</v>
      </c>
      <c r="B135" s="1">
        <v>44941</v>
      </c>
      <c r="C135">
        <v>2023</v>
      </c>
      <c r="D135">
        <v>1</v>
      </c>
      <c r="E135" t="s">
        <v>498</v>
      </c>
      <c r="F135" t="s">
        <v>506</v>
      </c>
      <c r="G135" t="s">
        <v>58</v>
      </c>
      <c r="H135" t="s">
        <v>511</v>
      </c>
      <c r="I135" t="s">
        <v>115</v>
      </c>
      <c r="J135" t="s">
        <v>565</v>
      </c>
      <c r="K135" t="s">
        <v>562</v>
      </c>
      <c r="L135" t="s">
        <v>537</v>
      </c>
      <c r="M135" t="s">
        <v>526</v>
      </c>
      <c r="N135">
        <v>1</v>
      </c>
      <c r="O135">
        <v>5</v>
      </c>
      <c r="P135">
        <v>5</v>
      </c>
      <c r="Q135" t="s">
        <v>527</v>
      </c>
      <c r="R135" t="s">
        <v>133</v>
      </c>
      <c r="S135" t="s">
        <v>34</v>
      </c>
    </row>
    <row r="136" spans="1:19" x14ac:dyDescent="0.3">
      <c r="A136">
        <v>1119</v>
      </c>
      <c r="B136" s="1">
        <v>45309</v>
      </c>
      <c r="C136">
        <v>2024</v>
      </c>
      <c r="D136">
        <v>1</v>
      </c>
      <c r="E136" t="s">
        <v>498</v>
      </c>
      <c r="F136" t="s">
        <v>503</v>
      </c>
      <c r="G136" t="s">
        <v>517</v>
      </c>
      <c r="H136" t="s">
        <v>102</v>
      </c>
      <c r="I136" t="s">
        <v>18</v>
      </c>
      <c r="J136" t="s">
        <v>313</v>
      </c>
      <c r="K136" t="s">
        <v>545</v>
      </c>
      <c r="L136" t="s">
        <v>529</v>
      </c>
      <c r="M136" t="s">
        <v>530</v>
      </c>
      <c r="N136">
        <v>3</v>
      </c>
      <c r="O136">
        <v>1</v>
      </c>
      <c r="P136">
        <v>3</v>
      </c>
      <c r="Q136" t="s">
        <v>538</v>
      </c>
      <c r="R136" t="s">
        <v>561</v>
      </c>
      <c r="S136" t="s">
        <v>34</v>
      </c>
    </row>
    <row r="137" spans="1:19" x14ac:dyDescent="0.3">
      <c r="A137">
        <v>1145</v>
      </c>
      <c r="B137" s="1">
        <v>45510</v>
      </c>
      <c r="C137">
        <v>2024</v>
      </c>
      <c r="D137">
        <v>3</v>
      </c>
      <c r="E137" t="s">
        <v>514</v>
      </c>
      <c r="F137" t="s">
        <v>501</v>
      </c>
      <c r="G137" t="s">
        <v>213</v>
      </c>
      <c r="H137" t="s">
        <v>48</v>
      </c>
      <c r="I137" t="s">
        <v>159</v>
      </c>
      <c r="J137" t="s">
        <v>229</v>
      </c>
      <c r="K137" t="s">
        <v>549</v>
      </c>
      <c r="L137" t="s">
        <v>529</v>
      </c>
      <c r="M137" t="s">
        <v>558</v>
      </c>
      <c r="N137">
        <v>5</v>
      </c>
      <c r="O137">
        <v>1</v>
      </c>
      <c r="P137">
        <v>5</v>
      </c>
      <c r="Q137" t="s">
        <v>554</v>
      </c>
      <c r="R137" t="s">
        <v>133</v>
      </c>
      <c r="S137" t="s">
        <v>34</v>
      </c>
    </row>
    <row r="138" spans="1:19" x14ac:dyDescent="0.3">
      <c r="A138">
        <v>1084</v>
      </c>
      <c r="B138" s="1">
        <v>45501</v>
      </c>
      <c r="C138">
        <v>2024</v>
      </c>
      <c r="D138">
        <v>3</v>
      </c>
      <c r="E138" t="s">
        <v>500</v>
      </c>
      <c r="F138" t="s">
        <v>506</v>
      </c>
      <c r="G138" t="s">
        <v>504</v>
      </c>
      <c r="H138" t="s">
        <v>109</v>
      </c>
      <c r="I138" t="s">
        <v>115</v>
      </c>
      <c r="J138" t="s">
        <v>408</v>
      </c>
      <c r="K138" t="s">
        <v>528</v>
      </c>
      <c r="L138" t="s">
        <v>543</v>
      </c>
      <c r="M138" t="s">
        <v>520</v>
      </c>
      <c r="N138">
        <v>1</v>
      </c>
      <c r="Q138" t="s">
        <v>531</v>
      </c>
      <c r="R138" t="s">
        <v>561</v>
      </c>
      <c r="S138" t="s">
        <v>76</v>
      </c>
    </row>
    <row r="139" spans="1:19" x14ac:dyDescent="0.3">
      <c r="A139">
        <v>1088</v>
      </c>
      <c r="B139" s="1">
        <v>45268</v>
      </c>
      <c r="C139">
        <v>2023</v>
      </c>
      <c r="D139">
        <v>4</v>
      </c>
      <c r="E139" t="s">
        <v>513</v>
      </c>
      <c r="F139" t="s">
        <v>499</v>
      </c>
      <c r="G139" t="s">
        <v>170</v>
      </c>
      <c r="H139" t="s">
        <v>511</v>
      </c>
      <c r="I139" t="s">
        <v>148</v>
      </c>
      <c r="J139" t="s">
        <v>531</v>
      </c>
      <c r="K139" t="s">
        <v>528</v>
      </c>
      <c r="L139" t="s">
        <v>533</v>
      </c>
      <c r="M139" t="s">
        <v>539</v>
      </c>
      <c r="N139">
        <v>3</v>
      </c>
      <c r="O139">
        <v>1</v>
      </c>
      <c r="P139">
        <v>3</v>
      </c>
      <c r="Q139" t="s">
        <v>535</v>
      </c>
      <c r="R139" t="s">
        <v>69</v>
      </c>
      <c r="S139" t="s">
        <v>121</v>
      </c>
    </row>
    <row r="140" spans="1:19" x14ac:dyDescent="0.3">
      <c r="A140">
        <v>1138</v>
      </c>
      <c r="B140" s="1">
        <v>45441</v>
      </c>
      <c r="C140">
        <v>2024</v>
      </c>
      <c r="D140">
        <v>2</v>
      </c>
      <c r="E140" t="s">
        <v>509</v>
      </c>
      <c r="F140" t="s">
        <v>507</v>
      </c>
      <c r="G140" t="s">
        <v>83</v>
      </c>
      <c r="H140" t="s">
        <v>511</v>
      </c>
      <c r="I140" t="s">
        <v>148</v>
      </c>
      <c r="J140" t="s">
        <v>531</v>
      </c>
      <c r="K140" t="s">
        <v>536</v>
      </c>
      <c r="L140" t="s">
        <v>543</v>
      </c>
      <c r="M140" t="s">
        <v>546</v>
      </c>
      <c r="N140">
        <v>5</v>
      </c>
      <c r="Q140" t="s">
        <v>527</v>
      </c>
      <c r="R140" t="s">
        <v>69</v>
      </c>
      <c r="S140" t="s">
        <v>56</v>
      </c>
    </row>
    <row r="141" spans="1:19" x14ac:dyDescent="0.3">
      <c r="A141">
        <v>1039</v>
      </c>
      <c r="B141" s="1">
        <v>45180</v>
      </c>
      <c r="C141">
        <v>2023</v>
      </c>
      <c r="D141">
        <v>3</v>
      </c>
      <c r="E141" t="s">
        <v>516</v>
      </c>
      <c r="F141" t="s">
        <v>508</v>
      </c>
      <c r="G141" t="s">
        <v>147</v>
      </c>
      <c r="H141" t="s">
        <v>17</v>
      </c>
      <c r="I141" t="s">
        <v>115</v>
      </c>
      <c r="J141" t="s">
        <v>449</v>
      </c>
      <c r="K141" t="s">
        <v>545</v>
      </c>
      <c r="L141" t="s">
        <v>525</v>
      </c>
      <c r="M141" t="s">
        <v>520</v>
      </c>
      <c r="N141">
        <v>1</v>
      </c>
      <c r="O141">
        <v>1</v>
      </c>
      <c r="P141">
        <v>1</v>
      </c>
      <c r="Q141" t="s">
        <v>538</v>
      </c>
      <c r="R141" t="s">
        <v>561</v>
      </c>
      <c r="S141" t="s">
        <v>34</v>
      </c>
    </row>
    <row r="142" spans="1:19" x14ac:dyDescent="0.3">
      <c r="A142">
        <v>1178</v>
      </c>
      <c r="B142" s="1">
        <v>45350</v>
      </c>
      <c r="C142">
        <v>2024</v>
      </c>
      <c r="D142">
        <v>1</v>
      </c>
      <c r="E142" t="s">
        <v>512</v>
      </c>
      <c r="F142" t="s">
        <v>507</v>
      </c>
      <c r="G142" t="s">
        <v>83</v>
      </c>
      <c r="H142" t="s">
        <v>109</v>
      </c>
      <c r="I142" t="s">
        <v>531</v>
      </c>
      <c r="J142" t="s">
        <v>565</v>
      </c>
      <c r="K142" t="s">
        <v>536</v>
      </c>
      <c r="L142" t="s">
        <v>529</v>
      </c>
      <c r="M142" t="s">
        <v>551</v>
      </c>
      <c r="N142">
        <v>5</v>
      </c>
      <c r="O142">
        <v>4</v>
      </c>
      <c r="P142">
        <v>20</v>
      </c>
      <c r="Q142" t="s">
        <v>554</v>
      </c>
      <c r="R142" t="s">
        <v>69</v>
      </c>
      <c r="S142" t="s">
        <v>76</v>
      </c>
    </row>
    <row r="143" spans="1:19" x14ac:dyDescent="0.3">
      <c r="A143">
        <v>1113</v>
      </c>
      <c r="B143" s="1">
        <v>45613</v>
      </c>
      <c r="C143">
        <v>2024</v>
      </c>
      <c r="D143">
        <v>4</v>
      </c>
      <c r="E143" t="s">
        <v>496</v>
      </c>
      <c r="F143" t="s">
        <v>506</v>
      </c>
      <c r="G143" t="s">
        <v>36</v>
      </c>
      <c r="H143" t="s">
        <v>102</v>
      </c>
      <c r="I143" t="s">
        <v>115</v>
      </c>
      <c r="J143" t="s">
        <v>181</v>
      </c>
      <c r="K143" t="s">
        <v>547</v>
      </c>
      <c r="L143" t="s">
        <v>555</v>
      </c>
      <c r="M143" t="s">
        <v>530</v>
      </c>
      <c r="N143">
        <v>3</v>
      </c>
      <c r="O143">
        <v>5</v>
      </c>
      <c r="P143">
        <v>15</v>
      </c>
      <c r="Q143" t="s">
        <v>538</v>
      </c>
      <c r="R143" t="s">
        <v>133</v>
      </c>
      <c r="S143" t="s">
        <v>34</v>
      </c>
    </row>
    <row r="144" spans="1:19" x14ac:dyDescent="0.3">
      <c r="A144">
        <v>1153</v>
      </c>
      <c r="B144" s="1">
        <v>45157</v>
      </c>
      <c r="C144">
        <v>2023</v>
      </c>
      <c r="D144">
        <v>3</v>
      </c>
      <c r="E144" t="s">
        <v>514</v>
      </c>
      <c r="F144" t="s">
        <v>497</v>
      </c>
      <c r="G144" t="s">
        <v>58</v>
      </c>
      <c r="H144" t="s">
        <v>109</v>
      </c>
      <c r="I144" t="s">
        <v>531</v>
      </c>
      <c r="J144" t="s">
        <v>565</v>
      </c>
      <c r="K144" t="s">
        <v>531</v>
      </c>
      <c r="L144" t="s">
        <v>567</v>
      </c>
      <c r="M144" t="s">
        <v>530</v>
      </c>
      <c r="N144">
        <v>4</v>
      </c>
      <c r="O144">
        <v>5</v>
      </c>
      <c r="P144">
        <v>20</v>
      </c>
      <c r="Q144" t="s">
        <v>521</v>
      </c>
      <c r="R144" t="s">
        <v>133</v>
      </c>
      <c r="S144" t="s">
        <v>34</v>
      </c>
    </row>
    <row r="145" spans="1:19" x14ac:dyDescent="0.3">
      <c r="A145">
        <v>1057</v>
      </c>
      <c r="B145" s="1">
        <v>45453</v>
      </c>
      <c r="C145">
        <v>2024</v>
      </c>
      <c r="D145">
        <v>2</v>
      </c>
      <c r="E145" t="s">
        <v>502</v>
      </c>
      <c r="F145" t="s">
        <v>508</v>
      </c>
      <c r="G145" t="s">
        <v>170</v>
      </c>
      <c r="H145" t="s">
        <v>91</v>
      </c>
      <c r="I145" t="s">
        <v>148</v>
      </c>
      <c r="J145" t="s">
        <v>290</v>
      </c>
      <c r="K145" t="s">
        <v>559</v>
      </c>
      <c r="L145" t="s">
        <v>525</v>
      </c>
      <c r="M145" t="s">
        <v>534</v>
      </c>
      <c r="N145">
        <v>3</v>
      </c>
      <c r="O145">
        <v>1</v>
      </c>
      <c r="P145">
        <v>3</v>
      </c>
      <c r="Q145" t="s">
        <v>535</v>
      </c>
      <c r="R145" t="s">
        <v>45</v>
      </c>
      <c r="S145" t="s">
        <v>76</v>
      </c>
    </row>
    <row r="146" spans="1:19" x14ac:dyDescent="0.3">
      <c r="A146">
        <v>1070</v>
      </c>
      <c r="B146" s="1">
        <v>45520</v>
      </c>
      <c r="C146">
        <v>2024</v>
      </c>
      <c r="D146">
        <v>3</v>
      </c>
      <c r="E146" t="s">
        <v>514</v>
      </c>
      <c r="F146" t="s">
        <v>499</v>
      </c>
      <c r="G146" t="s">
        <v>170</v>
      </c>
      <c r="H146" t="s">
        <v>17</v>
      </c>
      <c r="I146" t="s">
        <v>159</v>
      </c>
      <c r="J146" t="s">
        <v>359</v>
      </c>
      <c r="K146" t="s">
        <v>547</v>
      </c>
      <c r="L146" t="s">
        <v>540</v>
      </c>
      <c r="M146" t="s">
        <v>530</v>
      </c>
      <c r="N146">
        <v>5</v>
      </c>
      <c r="O146">
        <v>5</v>
      </c>
      <c r="P146">
        <v>25</v>
      </c>
      <c r="Q146" t="s">
        <v>554</v>
      </c>
      <c r="R146" t="s">
        <v>69</v>
      </c>
      <c r="S146" t="s">
        <v>76</v>
      </c>
    </row>
    <row r="147" spans="1:19" x14ac:dyDescent="0.3">
      <c r="A147">
        <v>1045</v>
      </c>
      <c r="B147" s="1">
        <v>44980</v>
      </c>
      <c r="C147">
        <v>2023</v>
      </c>
      <c r="D147">
        <v>1</v>
      </c>
      <c r="E147" t="s">
        <v>512</v>
      </c>
      <c r="F147" t="s">
        <v>503</v>
      </c>
      <c r="G147" t="s">
        <v>90</v>
      </c>
      <c r="H147" t="s">
        <v>102</v>
      </c>
      <c r="I147" t="s">
        <v>60</v>
      </c>
      <c r="J147" t="s">
        <v>61</v>
      </c>
      <c r="K147" t="s">
        <v>562</v>
      </c>
      <c r="L147" t="s">
        <v>543</v>
      </c>
      <c r="M147" t="s">
        <v>544</v>
      </c>
      <c r="N147">
        <v>1</v>
      </c>
      <c r="O147">
        <v>1</v>
      </c>
      <c r="P147">
        <v>1</v>
      </c>
      <c r="Q147" t="s">
        <v>538</v>
      </c>
      <c r="R147" t="s">
        <v>45</v>
      </c>
      <c r="S147" t="s">
        <v>121</v>
      </c>
    </row>
    <row r="148" spans="1:19" x14ac:dyDescent="0.3">
      <c r="A148">
        <v>1056</v>
      </c>
      <c r="B148" s="1">
        <v>45514</v>
      </c>
      <c r="C148">
        <v>2024</v>
      </c>
      <c r="D148">
        <v>3</v>
      </c>
      <c r="E148" t="s">
        <v>514</v>
      </c>
      <c r="F148" t="s">
        <v>497</v>
      </c>
      <c r="G148" t="s">
        <v>114</v>
      </c>
      <c r="H148" t="s">
        <v>17</v>
      </c>
      <c r="I148" t="s">
        <v>49</v>
      </c>
      <c r="J148" t="s">
        <v>188</v>
      </c>
      <c r="K148" t="s">
        <v>518</v>
      </c>
      <c r="L148" t="s">
        <v>519</v>
      </c>
      <c r="M148" t="s">
        <v>544</v>
      </c>
      <c r="N148">
        <v>1</v>
      </c>
      <c r="O148">
        <v>2</v>
      </c>
      <c r="P148">
        <v>2</v>
      </c>
      <c r="Q148" t="s">
        <v>531</v>
      </c>
      <c r="R148" t="s">
        <v>133</v>
      </c>
      <c r="S148" t="s">
        <v>56</v>
      </c>
    </row>
    <row r="149" spans="1:19" x14ac:dyDescent="0.3">
      <c r="A149">
        <v>1076</v>
      </c>
      <c r="B149" s="1">
        <v>45111</v>
      </c>
      <c r="C149">
        <v>2023</v>
      </c>
      <c r="D149">
        <v>3</v>
      </c>
      <c r="E149" t="s">
        <v>500</v>
      </c>
      <c r="F149" t="s">
        <v>501</v>
      </c>
      <c r="G149" t="s">
        <v>213</v>
      </c>
      <c r="H149" t="s">
        <v>102</v>
      </c>
      <c r="I149" t="s">
        <v>103</v>
      </c>
      <c r="J149" t="s">
        <v>104</v>
      </c>
      <c r="K149" t="s">
        <v>542</v>
      </c>
      <c r="L149" t="s">
        <v>566</v>
      </c>
      <c r="M149" t="s">
        <v>546</v>
      </c>
      <c r="N149">
        <v>3</v>
      </c>
      <c r="Q149" t="s">
        <v>535</v>
      </c>
      <c r="R149" t="s">
        <v>133</v>
      </c>
      <c r="S149" t="s">
        <v>121</v>
      </c>
    </row>
    <row r="150" spans="1:19" x14ac:dyDescent="0.3">
      <c r="A150">
        <v>1136</v>
      </c>
      <c r="B150" s="1">
        <v>45456</v>
      </c>
      <c r="C150">
        <v>2024</v>
      </c>
      <c r="D150">
        <v>2</v>
      </c>
      <c r="E150" t="s">
        <v>502</v>
      </c>
      <c r="F150" t="s">
        <v>503</v>
      </c>
      <c r="G150" t="s">
        <v>170</v>
      </c>
      <c r="H150" t="s">
        <v>522</v>
      </c>
      <c r="I150" t="s">
        <v>115</v>
      </c>
      <c r="J150" t="s">
        <v>574</v>
      </c>
      <c r="K150" t="s">
        <v>559</v>
      </c>
      <c r="L150" t="s">
        <v>519</v>
      </c>
      <c r="M150" t="s">
        <v>526</v>
      </c>
      <c r="N150">
        <v>2</v>
      </c>
      <c r="O150">
        <v>1</v>
      </c>
      <c r="P150">
        <v>2</v>
      </c>
      <c r="Q150" t="s">
        <v>527</v>
      </c>
      <c r="R150" t="s">
        <v>69</v>
      </c>
      <c r="S150" t="s">
        <v>56</v>
      </c>
    </row>
    <row r="151" spans="1:19" x14ac:dyDescent="0.3">
      <c r="A151">
        <v>1128</v>
      </c>
      <c r="B151" s="1">
        <v>45111</v>
      </c>
      <c r="C151">
        <v>2023</v>
      </c>
      <c r="D151">
        <v>3</v>
      </c>
      <c r="E151" t="s">
        <v>500</v>
      </c>
      <c r="F151" t="s">
        <v>501</v>
      </c>
      <c r="G151" t="s">
        <v>58</v>
      </c>
      <c r="H151" t="s">
        <v>48</v>
      </c>
      <c r="I151" t="s">
        <v>60</v>
      </c>
      <c r="J151" t="s">
        <v>459</v>
      </c>
      <c r="K151" t="s">
        <v>528</v>
      </c>
      <c r="L151" t="s">
        <v>540</v>
      </c>
      <c r="M151" t="s">
        <v>80</v>
      </c>
      <c r="N151">
        <v>3</v>
      </c>
      <c r="O151">
        <v>2</v>
      </c>
      <c r="P151">
        <v>6</v>
      </c>
      <c r="Q151" t="s">
        <v>531</v>
      </c>
      <c r="R151" t="s">
        <v>133</v>
      </c>
      <c r="S151" t="s">
        <v>570</v>
      </c>
    </row>
    <row r="152" spans="1:19" x14ac:dyDescent="0.3">
      <c r="A152">
        <v>1177</v>
      </c>
      <c r="B152" s="1">
        <v>45294</v>
      </c>
      <c r="C152">
        <v>2024</v>
      </c>
      <c r="D152">
        <v>1</v>
      </c>
      <c r="E152" t="s">
        <v>498</v>
      </c>
      <c r="F152" t="s">
        <v>507</v>
      </c>
      <c r="G152" t="s">
        <v>541</v>
      </c>
      <c r="H152" t="s">
        <v>48</v>
      </c>
      <c r="I152" t="s">
        <v>159</v>
      </c>
      <c r="J152" t="s">
        <v>229</v>
      </c>
      <c r="K152" t="s">
        <v>532</v>
      </c>
      <c r="L152" t="s">
        <v>567</v>
      </c>
      <c r="M152" t="s">
        <v>520</v>
      </c>
      <c r="N152">
        <v>3</v>
      </c>
      <c r="O152">
        <v>1</v>
      </c>
      <c r="P152">
        <v>3</v>
      </c>
      <c r="Q152" t="s">
        <v>538</v>
      </c>
      <c r="R152" t="s">
        <v>561</v>
      </c>
      <c r="S152" t="s">
        <v>570</v>
      </c>
    </row>
    <row r="153" spans="1:19" x14ac:dyDescent="0.3">
      <c r="A153">
        <v>1069</v>
      </c>
      <c r="B153" s="1">
        <v>45540</v>
      </c>
      <c r="C153">
        <v>2024</v>
      </c>
      <c r="D153">
        <v>3</v>
      </c>
      <c r="E153" t="s">
        <v>516</v>
      </c>
      <c r="F153" t="s">
        <v>503</v>
      </c>
      <c r="G153" t="s">
        <v>170</v>
      </c>
      <c r="H153" t="s">
        <v>102</v>
      </c>
      <c r="I153" t="s">
        <v>72</v>
      </c>
      <c r="J153" t="s">
        <v>490</v>
      </c>
      <c r="K153" t="s">
        <v>562</v>
      </c>
      <c r="L153" t="s">
        <v>533</v>
      </c>
      <c r="M153" t="s">
        <v>558</v>
      </c>
      <c r="N153">
        <v>3</v>
      </c>
      <c r="O153">
        <v>3</v>
      </c>
      <c r="P153">
        <v>9</v>
      </c>
      <c r="Q153" t="s">
        <v>527</v>
      </c>
      <c r="R153" t="s">
        <v>69</v>
      </c>
      <c r="S153" t="s">
        <v>34</v>
      </c>
    </row>
    <row r="154" spans="1:19" x14ac:dyDescent="0.3">
      <c r="A154">
        <v>1168</v>
      </c>
      <c r="B154" s="1">
        <v>45604</v>
      </c>
      <c r="C154">
        <v>2024</v>
      </c>
      <c r="D154">
        <v>4</v>
      </c>
      <c r="E154" t="s">
        <v>496</v>
      </c>
      <c r="F154" t="s">
        <v>499</v>
      </c>
      <c r="G154" t="s">
        <v>170</v>
      </c>
      <c r="H154" t="s">
        <v>102</v>
      </c>
      <c r="I154" t="s">
        <v>18</v>
      </c>
      <c r="J154" t="s">
        <v>313</v>
      </c>
      <c r="K154" t="s">
        <v>528</v>
      </c>
      <c r="L154" t="s">
        <v>519</v>
      </c>
      <c r="M154" t="s">
        <v>539</v>
      </c>
      <c r="N154">
        <v>3</v>
      </c>
      <c r="O154">
        <v>3</v>
      </c>
      <c r="P154">
        <v>9</v>
      </c>
      <c r="Q154" t="s">
        <v>527</v>
      </c>
      <c r="R154" t="s">
        <v>69</v>
      </c>
      <c r="S154" t="s">
        <v>121</v>
      </c>
    </row>
    <row r="155" spans="1:19" x14ac:dyDescent="0.3">
      <c r="A155">
        <v>1137</v>
      </c>
      <c r="B155" s="1">
        <v>45092</v>
      </c>
      <c r="C155">
        <v>2023</v>
      </c>
      <c r="D155">
        <v>2</v>
      </c>
      <c r="E155" t="s">
        <v>502</v>
      </c>
      <c r="F155" t="s">
        <v>503</v>
      </c>
      <c r="G155" t="s">
        <v>90</v>
      </c>
      <c r="H155" t="s">
        <v>48</v>
      </c>
      <c r="I155" t="s">
        <v>159</v>
      </c>
      <c r="J155" t="s">
        <v>229</v>
      </c>
      <c r="K155" t="s">
        <v>532</v>
      </c>
      <c r="L155" t="s">
        <v>525</v>
      </c>
      <c r="M155" t="s">
        <v>534</v>
      </c>
      <c r="N155">
        <v>5</v>
      </c>
      <c r="O155">
        <v>3</v>
      </c>
      <c r="P155">
        <v>15</v>
      </c>
      <c r="Q155" t="s">
        <v>531</v>
      </c>
      <c r="R155" t="s">
        <v>45</v>
      </c>
      <c r="S155" t="s">
        <v>34</v>
      </c>
    </row>
    <row r="156" spans="1:19" x14ac:dyDescent="0.3">
      <c r="A156">
        <v>1043</v>
      </c>
      <c r="B156" s="1">
        <v>45057</v>
      </c>
      <c r="C156">
        <v>2023</v>
      </c>
      <c r="D156">
        <v>2</v>
      </c>
      <c r="E156" t="s">
        <v>509</v>
      </c>
      <c r="F156" t="s">
        <v>503</v>
      </c>
      <c r="G156" t="s">
        <v>78</v>
      </c>
      <c r="H156" t="s">
        <v>102</v>
      </c>
      <c r="I156" t="s">
        <v>25</v>
      </c>
      <c r="J156" t="s">
        <v>84</v>
      </c>
      <c r="K156" t="s">
        <v>559</v>
      </c>
      <c r="L156" t="s">
        <v>556</v>
      </c>
      <c r="M156" t="s">
        <v>80</v>
      </c>
      <c r="N156">
        <v>3</v>
      </c>
      <c r="O156">
        <v>3</v>
      </c>
      <c r="P156">
        <v>9</v>
      </c>
      <c r="Q156" t="s">
        <v>538</v>
      </c>
      <c r="R156" t="s">
        <v>45</v>
      </c>
      <c r="S156" t="s">
        <v>76</v>
      </c>
    </row>
    <row r="157" spans="1:19" x14ac:dyDescent="0.3">
      <c r="A157">
        <v>1111</v>
      </c>
      <c r="B157" s="1">
        <v>45622</v>
      </c>
      <c r="C157">
        <v>2024</v>
      </c>
      <c r="D157">
        <v>4</v>
      </c>
      <c r="E157" t="s">
        <v>496</v>
      </c>
      <c r="F157" t="s">
        <v>501</v>
      </c>
      <c r="G157" t="s">
        <v>310</v>
      </c>
      <c r="H157" t="s">
        <v>102</v>
      </c>
      <c r="I157" t="s">
        <v>115</v>
      </c>
      <c r="J157" t="s">
        <v>181</v>
      </c>
      <c r="K157" t="s">
        <v>518</v>
      </c>
      <c r="L157" t="s">
        <v>529</v>
      </c>
      <c r="M157" t="s">
        <v>530</v>
      </c>
      <c r="N157">
        <v>3</v>
      </c>
      <c r="O157">
        <v>3</v>
      </c>
      <c r="P157">
        <v>9</v>
      </c>
      <c r="Q157" t="s">
        <v>538</v>
      </c>
      <c r="R157" t="s">
        <v>69</v>
      </c>
      <c r="S157" t="s">
        <v>76</v>
      </c>
    </row>
    <row r="158" spans="1:19" x14ac:dyDescent="0.3">
      <c r="A158">
        <v>1090</v>
      </c>
      <c r="B158" s="1">
        <v>44943</v>
      </c>
      <c r="C158">
        <v>2023</v>
      </c>
      <c r="D158">
        <v>1</v>
      </c>
      <c r="E158" t="s">
        <v>498</v>
      </c>
      <c r="F158" t="s">
        <v>501</v>
      </c>
      <c r="G158" t="s">
        <v>541</v>
      </c>
      <c r="H158" t="s">
        <v>102</v>
      </c>
      <c r="I158" t="s">
        <v>148</v>
      </c>
      <c r="J158" t="s">
        <v>195</v>
      </c>
      <c r="K158" t="s">
        <v>531</v>
      </c>
      <c r="L158" t="s">
        <v>566</v>
      </c>
      <c r="M158" t="s">
        <v>539</v>
      </c>
      <c r="N158">
        <v>5</v>
      </c>
      <c r="O158">
        <v>4</v>
      </c>
      <c r="P158">
        <v>20</v>
      </c>
      <c r="Q158" t="s">
        <v>538</v>
      </c>
      <c r="R158" t="s">
        <v>561</v>
      </c>
      <c r="S158" t="s">
        <v>56</v>
      </c>
    </row>
    <row r="159" spans="1:19" x14ac:dyDescent="0.3">
      <c r="A159">
        <v>1024</v>
      </c>
      <c r="B159" s="1">
        <v>45236</v>
      </c>
      <c r="C159">
        <v>2023</v>
      </c>
      <c r="D159">
        <v>4</v>
      </c>
      <c r="E159" t="s">
        <v>496</v>
      </c>
      <c r="F159" t="s">
        <v>508</v>
      </c>
      <c r="G159" t="s">
        <v>147</v>
      </c>
      <c r="H159" t="s">
        <v>102</v>
      </c>
      <c r="I159" t="s">
        <v>115</v>
      </c>
      <c r="J159" t="s">
        <v>181</v>
      </c>
      <c r="K159" t="s">
        <v>542</v>
      </c>
      <c r="L159" t="s">
        <v>555</v>
      </c>
      <c r="M159" t="s">
        <v>551</v>
      </c>
      <c r="N159">
        <v>3</v>
      </c>
      <c r="O159">
        <v>1</v>
      </c>
      <c r="P159">
        <v>3</v>
      </c>
      <c r="Q159" t="s">
        <v>538</v>
      </c>
      <c r="R159" t="s">
        <v>45</v>
      </c>
      <c r="S159" t="s">
        <v>34</v>
      </c>
    </row>
    <row r="160" spans="1:19" x14ac:dyDescent="0.3">
      <c r="A160">
        <v>1143</v>
      </c>
      <c r="B160" s="1">
        <v>45242</v>
      </c>
      <c r="C160">
        <v>2023</v>
      </c>
      <c r="D160">
        <v>4</v>
      </c>
      <c r="E160" t="s">
        <v>496</v>
      </c>
      <c r="F160" t="s">
        <v>506</v>
      </c>
      <c r="G160" t="s">
        <v>310</v>
      </c>
      <c r="H160" t="s">
        <v>102</v>
      </c>
      <c r="I160" t="s">
        <v>25</v>
      </c>
      <c r="J160" t="s">
        <v>84</v>
      </c>
      <c r="K160" t="s">
        <v>524</v>
      </c>
      <c r="L160" t="s">
        <v>567</v>
      </c>
      <c r="M160" t="s">
        <v>526</v>
      </c>
      <c r="N160">
        <v>5</v>
      </c>
      <c r="O160">
        <v>1</v>
      </c>
      <c r="P160">
        <v>5</v>
      </c>
      <c r="Q160" t="s">
        <v>535</v>
      </c>
      <c r="R160" t="s">
        <v>69</v>
      </c>
      <c r="S160" t="s">
        <v>34</v>
      </c>
    </row>
    <row r="161" spans="1:19" x14ac:dyDescent="0.3">
      <c r="A161">
        <v>1093</v>
      </c>
      <c r="B161" s="1">
        <v>45444</v>
      </c>
      <c r="C161">
        <v>2024</v>
      </c>
      <c r="D161">
        <v>2</v>
      </c>
      <c r="E161" t="s">
        <v>502</v>
      </c>
      <c r="F161" t="s">
        <v>497</v>
      </c>
      <c r="G161" t="s">
        <v>517</v>
      </c>
      <c r="H161" t="s">
        <v>102</v>
      </c>
      <c r="I161" t="s">
        <v>148</v>
      </c>
      <c r="J161" t="s">
        <v>195</v>
      </c>
      <c r="K161" t="s">
        <v>531</v>
      </c>
      <c r="L161" t="s">
        <v>529</v>
      </c>
      <c r="M161" t="s">
        <v>80</v>
      </c>
      <c r="N161">
        <v>3</v>
      </c>
      <c r="O161">
        <v>1</v>
      </c>
      <c r="P161">
        <v>3</v>
      </c>
      <c r="Q161" t="s">
        <v>554</v>
      </c>
      <c r="R161" t="s">
        <v>561</v>
      </c>
      <c r="S161" t="s">
        <v>121</v>
      </c>
    </row>
    <row r="162" spans="1:19" x14ac:dyDescent="0.3">
      <c r="A162">
        <v>1104</v>
      </c>
      <c r="B162" s="1">
        <v>45559</v>
      </c>
      <c r="C162">
        <v>2024</v>
      </c>
      <c r="D162">
        <v>3</v>
      </c>
      <c r="E162" t="s">
        <v>516</v>
      </c>
      <c r="F162" t="s">
        <v>501</v>
      </c>
      <c r="G162" t="s">
        <v>123</v>
      </c>
      <c r="H162" t="s">
        <v>102</v>
      </c>
      <c r="I162" t="s">
        <v>25</v>
      </c>
      <c r="J162" t="s">
        <v>84</v>
      </c>
      <c r="K162" t="s">
        <v>542</v>
      </c>
      <c r="L162" t="s">
        <v>529</v>
      </c>
      <c r="M162" t="s">
        <v>526</v>
      </c>
      <c r="N162">
        <v>5</v>
      </c>
      <c r="O162">
        <v>3</v>
      </c>
      <c r="P162">
        <v>15</v>
      </c>
      <c r="Q162" t="s">
        <v>527</v>
      </c>
      <c r="R162" t="s">
        <v>69</v>
      </c>
      <c r="S162" t="s">
        <v>76</v>
      </c>
    </row>
    <row r="163" spans="1:19" x14ac:dyDescent="0.3">
      <c r="A163">
        <v>1152</v>
      </c>
      <c r="B163" s="1">
        <v>45397</v>
      </c>
      <c r="C163">
        <v>2024</v>
      </c>
      <c r="D163">
        <v>2</v>
      </c>
      <c r="E163" t="s">
        <v>515</v>
      </c>
      <c r="F163" t="s">
        <v>508</v>
      </c>
      <c r="G163" t="s">
        <v>58</v>
      </c>
      <c r="H163" t="s">
        <v>522</v>
      </c>
      <c r="I163" t="s">
        <v>18</v>
      </c>
      <c r="J163" t="s">
        <v>573</v>
      </c>
      <c r="K163" t="s">
        <v>553</v>
      </c>
      <c r="L163" t="s">
        <v>533</v>
      </c>
      <c r="M163" t="s">
        <v>80</v>
      </c>
      <c r="N163">
        <v>3</v>
      </c>
      <c r="O163">
        <v>5</v>
      </c>
      <c r="P163">
        <v>15</v>
      </c>
      <c r="Q163" t="s">
        <v>531</v>
      </c>
      <c r="R163" t="s">
        <v>69</v>
      </c>
      <c r="S163" t="s">
        <v>570</v>
      </c>
    </row>
    <row r="164" spans="1:19" x14ac:dyDescent="0.3">
      <c r="A164">
        <v>1068</v>
      </c>
      <c r="B164" s="1">
        <v>45590</v>
      </c>
      <c r="C164">
        <v>2024</v>
      </c>
      <c r="D164">
        <v>4</v>
      </c>
      <c r="E164" t="s">
        <v>505</v>
      </c>
      <c r="F164" t="s">
        <v>499</v>
      </c>
      <c r="G164" t="s">
        <v>114</v>
      </c>
      <c r="H164" t="s">
        <v>109</v>
      </c>
      <c r="I164" t="s">
        <v>159</v>
      </c>
      <c r="J164" t="s">
        <v>278</v>
      </c>
      <c r="K164" t="s">
        <v>531</v>
      </c>
      <c r="L164" t="s">
        <v>525</v>
      </c>
      <c r="M164" t="s">
        <v>558</v>
      </c>
      <c r="N164">
        <v>2</v>
      </c>
      <c r="O164">
        <v>1</v>
      </c>
      <c r="P164">
        <v>2</v>
      </c>
      <c r="Q164" t="s">
        <v>521</v>
      </c>
      <c r="R164" t="s">
        <v>133</v>
      </c>
      <c r="S164" t="s">
        <v>121</v>
      </c>
    </row>
    <row r="165" spans="1:19" x14ac:dyDescent="0.3">
      <c r="A165">
        <v>1176</v>
      </c>
      <c r="B165" s="1">
        <v>44942</v>
      </c>
      <c r="C165">
        <v>2023</v>
      </c>
      <c r="D165">
        <v>1</v>
      </c>
      <c r="E165" t="s">
        <v>498</v>
      </c>
      <c r="F165" t="s">
        <v>508</v>
      </c>
      <c r="G165" t="s">
        <v>213</v>
      </c>
      <c r="H165" t="s">
        <v>102</v>
      </c>
      <c r="I165" t="s">
        <v>531</v>
      </c>
      <c r="J165" t="s">
        <v>531</v>
      </c>
      <c r="K165" t="s">
        <v>562</v>
      </c>
      <c r="L165" t="s">
        <v>567</v>
      </c>
      <c r="M165" t="s">
        <v>526</v>
      </c>
      <c r="N165">
        <v>5</v>
      </c>
      <c r="O165">
        <v>5</v>
      </c>
      <c r="P165">
        <v>25</v>
      </c>
      <c r="Q165" t="s">
        <v>535</v>
      </c>
      <c r="R165" t="s">
        <v>133</v>
      </c>
      <c r="S165" t="s">
        <v>121</v>
      </c>
    </row>
    <row r="166" spans="1:19" ht="15" thickBot="1" x14ac:dyDescent="0.35"/>
    <row r="167" spans="1:19" x14ac:dyDescent="0.3">
      <c r="A167" s="24" t="s">
        <v>603</v>
      </c>
      <c r="B167" s="25" t="s">
        <v>603</v>
      </c>
      <c r="C167" s="25" t="s">
        <v>603</v>
      </c>
      <c r="D167" s="25" t="s">
        <v>603</v>
      </c>
      <c r="E167" s="25" t="s">
        <v>603</v>
      </c>
      <c r="F167" s="25" t="s">
        <v>603</v>
      </c>
      <c r="G167" s="25" t="s">
        <v>603</v>
      </c>
      <c r="H167" s="25" t="s">
        <v>603</v>
      </c>
      <c r="I167" s="25" t="s">
        <v>603</v>
      </c>
      <c r="J167" s="25" t="s">
        <v>603</v>
      </c>
      <c r="K167" s="25" t="s">
        <v>603</v>
      </c>
      <c r="L167" s="25" t="s">
        <v>603</v>
      </c>
      <c r="M167" s="25" t="s">
        <v>603</v>
      </c>
      <c r="N167" s="25" t="s">
        <v>603</v>
      </c>
      <c r="O167" s="25" t="s">
        <v>603</v>
      </c>
      <c r="P167" s="25" t="s">
        <v>603</v>
      </c>
      <c r="Q167" s="25" t="s">
        <v>603</v>
      </c>
      <c r="R167" s="25" t="s">
        <v>603</v>
      </c>
      <c r="S167" s="26" t="s">
        <v>603</v>
      </c>
    </row>
    <row r="168" spans="1:19" ht="15" thickBot="1" x14ac:dyDescent="0.35">
      <c r="A168" s="27">
        <f>COUNTBLANK(hazop_risk_analysis_cleaned[[#All],[HAZOP_ID]])</f>
        <v>0</v>
      </c>
      <c r="B168" s="28">
        <f>COUNTBLANK(hazop_risk_analysis_cleaned[[#All],[Study Date]])</f>
        <v>0</v>
      </c>
      <c r="C168" s="28">
        <f>COUNTBLANK(hazop_risk_analysis_cleaned[[#All],[Node]])</f>
        <v>0</v>
      </c>
      <c r="D168" s="28">
        <f>COUNTBLANK(hazop_risk_analysis_cleaned[[#All],[Parameter]])</f>
        <v>0</v>
      </c>
      <c r="E168" s="28">
        <f>COUNTBLANK(hazop_risk_analysis_cleaned[[#All],[Guide Word]])</f>
        <v>0</v>
      </c>
      <c r="F168" s="28">
        <f>COUNTBLANK(hazop_risk_analysis_cleaned[[#All],[Deviation]])</f>
        <v>0</v>
      </c>
      <c r="G168" s="28">
        <f>COUNTBLANK(hazop_risk_analysis_cleaned[[#All],[Cause]])</f>
        <v>0</v>
      </c>
      <c r="H168" s="28">
        <f>COUNTBLANK(hazop_risk_analysis_cleaned[[#All],[Consequence]])</f>
        <v>0</v>
      </c>
      <c r="I168" s="28">
        <f>COUNTBLANK(hazop_risk_analysis_cleaned[[#All],[Safeguard]])</f>
        <v>0</v>
      </c>
      <c r="J168" s="28">
        <f>COUNTBLANK(hazop_risk_analysis_cleaned[[#All],[Severity]])</f>
        <v>13</v>
      </c>
      <c r="K168" s="28">
        <f>COUNTBLANK(hazop_risk_analysis_cleaned[[#All],[Likelihood]])</f>
        <v>15</v>
      </c>
      <c r="L168" s="28">
        <f>COUNTBLANK(hazop_risk_analysis_cleaned[[#All],[Risk Rating]])</f>
        <v>28</v>
      </c>
      <c r="M168" s="28">
        <f>COUNTBLANK(hazop_risk_analysis_cleaned[[#All],[Recommended Action]])</f>
        <v>0</v>
      </c>
      <c r="N168" s="28">
        <f>COUNTBLANK(hazop_risk_analysis_cleaned[[#All],[Responsible Team]])</f>
        <v>0</v>
      </c>
      <c r="O168" s="28">
        <f>COUNTBLANK(hazop_risk_analysis_cleaned[[#All],[Status]])</f>
        <v>0</v>
      </c>
      <c r="P168" s="28">
        <f>COUNTBLANK(hazop_risk_analysis_cleaned[Risk Rating])</f>
        <v>28</v>
      </c>
      <c r="Q168" s="28">
        <f>COUNTBLANK(hazop_risk_analysis_cleaned[Recommended Action])</f>
        <v>0</v>
      </c>
      <c r="R168" s="28">
        <f>COUNTBLANK(hazop_risk_analysis_cleaned[Responsible Team])</f>
        <v>0</v>
      </c>
      <c r="S168" s="29">
        <f>COUNTBLANK(hazop_risk_analysis_cleaned[Status])</f>
        <v>0</v>
      </c>
    </row>
  </sheetData>
  <phoneticPr fontId="2" type="noConversion"/>
  <conditionalFormatting sqref="G1:T165 A1:B165">
    <cfRule type="duplicateValues" dxfId="1" priority="5"/>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EC9D8-F6BD-491A-B17D-B19771C85A31}">
  <dimension ref="A2:I33"/>
  <sheetViews>
    <sheetView topLeftCell="A7" workbookViewId="0">
      <selection activeCell="C39" sqref="C39"/>
    </sheetView>
  </sheetViews>
  <sheetFormatPr defaultRowHeight="14.4" x14ac:dyDescent="0.3"/>
  <cols>
    <col min="2" max="2" width="8.21875" customWidth="1"/>
    <col min="3" max="3" width="37.6640625" customWidth="1"/>
    <col min="4" max="4" width="33.5546875" customWidth="1"/>
    <col min="5" max="5" width="20" customWidth="1"/>
  </cols>
  <sheetData>
    <row r="2" spans="1:9" ht="15" thickBot="1" x14ac:dyDescent="0.35"/>
    <row r="3" spans="1:9" x14ac:dyDescent="0.3">
      <c r="A3" s="2"/>
      <c r="B3" s="45" t="s">
        <v>577</v>
      </c>
      <c r="C3" s="46"/>
      <c r="D3" s="46"/>
      <c r="E3" s="47"/>
    </row>
    <row r="4" spans="1:9" x14ac:dyDescent="0.3">
      <c r="B4" s="48"/>
      <c r="C4" s="44"/>
      <c r="D4" s="44"/>
      <c r="E4" s="49"/>
    </row>
    <row r="5" spans="1:9" ht="15.6" x14ac:dyDescent="0.3">
      <c r="B5" s="3" t="s">
        <v>578</v>
      </c>
      <c r="C5" s="4" t="s">
        <v>579</v>
      </c>
      <c r="D5" s="4" t="s">
        <v>579</v>
      </c>
      <c r="E5" s="5" t="s">
        <v>580</v>
      </c>
    </row>
    <row r="6" spans="1:9" ht="47.4" customHeight="1" x14ac:dyDescent="0.3">
      <c r="B6" s="6">
        <v>1</v>
      </c>
      <c r="C6" s="7" t="s">
        <v>581</v>
      </c>
      <c r="D6" s="7" t="s">
        <v>581</v>
      </c>
      <c r="E6" s="8" t="s">
        <v>582</v>
      </c>
    </row>
    <row r="7" spans="1:9" ht="70.2" customHeight="1" x14ac:dyDescent="0.3">
      <c r="B7" s="6">
        <v>2</v>
      </c>
      <c r="C7" s="7" t="s">
        <v>583</v>
      </c>
      <c r="D7" s="7" t="s">
        <v>583</v>
      </c>
      <c r="E7" s="8" t="s">
        <v>582</v>
      </c>
    </row>
    <row r="8" spans="1:9" ht="45.6" customHeight="1" x14ac:dyDescent="0.3">
      <c r="B8" s="6">
        <v>3</v>
      </c>
      <c r="C8" s="7" t="s">
        <v>584</v>
      </c>
      <c r="D8" s="7" t="s">
        <v>584</v>
      </c>
      <c r="E8" s="8" t="s">
        <v>582</v>
      </c>
    </row>
    <row r="9" spans="1:9" ht="37.799999999999997" customHeight="1" thickBot="1" x14ac:dyDescent="0.35">
      <c r="B9" s="9">
        <v>4</v>
      </c>
      <c r="C9" s="10" t="s">
        <v>616</v>
      </c>
      <c r="D9" s="10" t="s">
        <v>616</v>
      </c>
      <c r="E9" s="11" t="s">
        <v>582</v>
      </c>
    </row>
    <row r="10" spans="1:9" ht="15" thickBot="1" x14ac:dyDescent="0.35">
      <c r="B10" s="2"/>
    </row>
    <row r="11" spans="1:9" ht="14.4" customHeight="1" x14ac:dyDescent="0.3">
      <c r="B11" s="45" t="s">
        <v>595</v>
      </c>
      <c r="C11" s="46"/>
      <c r="D11" s="46"/>
      <c r="E11" s="47"/>
    </row>
    <row r="12" spans="1:9" x14ac:dyDescent="0.3">
      <c r="B12" s="48"/>
      <c r="C12" s="44"/>
      <c r="D12" s="44"/>
      <c r="E12" s="49"/>
      <c r="F12" s="43"/>
      <c r="G12" s="44"/>
      <c r="H12" s="44"/>
      <c r="I12" s="44"/>
    </row>
    <row r="13" spans="1:9" ht="15.6" x14ac:dyDescent="0.3">
      <c r="B13" s="3" t="s">
        <v>578</v>
      </c>
      <c r="C13" s="4" t="s">
        <v>579</v>
      </c>
      <c r="D13" s="4" t="s">
        <v>579</v>
      </c>
      <c r="E13" s="5" t="s">
        <v>580</v>
      </c>
      <c r="F13" s="44"/>
      <c r="G13" s="44"/>
      <c r="H13" s="44"/>
      <c r="I13" s="44"/>
    </row>
    <row r="14" spans="1:9" ht="43.2" customHeight="1" x14ac:dyDescent="0.3">
      <c r="B14" s="6">
        <v>5</v>
      </c>
      <c r="C14" s="7" t="s">
        <v>585</v>
      </c>
      <c r="D14" s="7" t="s">
        <v>585</v>
      </c>
      <c r="E14" s="8" t="s">
        <v>586</v>
      </c>
      <c r="F14" s="4"/>
      <c r="G14" s="4"/>
      <c r="H14" s="4"/>
      <c r="I14" s="4"/>
    </row>
    <row r="15" spans="1:9" ht="72" customHeight="1" thickBot="1" x14ac:dyDescent="0.35">
      <c r="B15" s="9">
        <v>6</v>
      </c>
      <c r="C15" s="10" t="s">
        <v>587</v>
      </c>
      <c r="D15" s="10" t="s">
        <v>587</v>
      </c>
      <c r="E15" s="11" t="s">
        <v>586</v>
      </c>
      <c r="F15" s="12"/>
      <c r="G15" s="7"/>
      <c r="H15" s="7"/>
      <c r="I15" s="7"/>
    </row>
    <row r="16" spans="1:9" ht="16.2" thickBot="1" x14ac:dyDescent="0.35">
      <c r="B16" s="2"/>
      <c r="F16" s="12"/>
      <c r="G16" s="7"/>
      <c r="H16" s="7"/>
      <c r="I16" s="7"/>
    </row>
    <row r="17" spans="2:9" ht="14.4" customHeight="1" x14ac:dyDescent="0.3">
      <c r="B17" s="45" t="s">
        <v>596</v>
      </c>
      <c r="C17" s="46"/>
      <c r="D17" s="46"/>
      <c r="E17" s="46"/>
      <c r="F17" s="12"/>
      <c r="G17" s="7"/>
      <c r="H17" s="7"/>
      <c r="I17" s="7"/>
    </row>
    <row r="18" spans="2:9" ht="15.6" x14ac:dyDescent="0.3">
      <c r="B18" s="48"/>
      <c r="C18" s="44"/>
      <c r="D18" s="44"/>
      <c r="E18" s="44"/>
      <c r="F18" s="12"/>
      <c r="G18" s="7"/>
      <c r="H18" s="7"/>
      <c r="I18" s="7"/>
    </row>
    <row r="19" spans="2:9" ht="15.6" x14ac:dyDescent="0.3">
      <c r="B19" s="3" t="s">
        <v>578</v>
      </c>
      <c r="C19" s="4" t="s">
        <v>579</v>
      </c>
      <c r="D19" s="4" t="s">
        <v>579</v>
      </c>
      <c r="E19" s="4" t="s">
        <v>580</v>
      </c>
      <c r="F19" s="2"/>
    </row>
    <row r="20" spans="2:9" ht="86.4" customHeight="1" x14ac:dyDescent="0.3">
      <c r="B20" s="6">
        <v>7</v>
      </c>
      <c r="C20" s="7" t="s">
        <v>588</v>
      </c>
      <c r="D20" s="7" t="s">
        <v>597</v>
      </c>
      <c r="E20" s="8" t="s">
        <v>589</v>
      </c>
    </row>
    <row r="21" spans="2:9" ht="57.6" customHeight="1" thickBot="1" x14ac:dyDescent="0.35">
      <c r="B21" s="9">
        <v>8</v>
      </c>
      <c r="C21" s="10" t="s">
        <v>590</v>
      </c>
      <c r="D21" s="10" t="s">
        <v>590</v>
      </c>
      <c r="E21" s="11" t="s">
        <v>589</v>
      </c>
    </row>
    <row r="22" spans="2:9" x14ac:dyDescent="0.3">
      <c r="B22" s="2"/>
    </row>
    <row r="23" spans="2:9" ht="14.4" customHeight="1" thickBot="1" x14ac:dyDescent="0.35"/>
    <row r="24" spans="2:9" x14ac:dyDescent="0.3">
      <c r="B24" s="45" t="s">
        <v>598</v>
      </c>
      <c r="C24" s="46"/>
      <c r="D24" s="46"/>
      <c r="E24" s="47"/>
    </row>
    <row r="25" spans="2:9" x14ac:dyDescent="0.3">
      <c r="B25" s="48" t="s">
        <v>578</v>
      </c>
      <c r="C25" s="44" t="s">
        <v>579</v>
      </c>
      <c r="D25" s="44" t="s">
        <v>579</v>
      </c>
      <c r="E25" s="49" t="s">
        <v>580</v>
      </c>
    </row>
    <row r="26" spans="2:9" ht="72" customHeight="1" thickBot="1" x14ac:dyDescent="0.35">
      <c r="B26" s="9">
        <v>9</v>
      </c>
      <c r="C26" s="13" t="s">
        <v>591</v>
      </c>
      <c r="D26" s="13" t="s">
        <v>599</v>
      </c>
      <c r="E26" s="14" t="s">
        <v>589</v>
      </c>
    </row>
    <row r="27" spans="2:9" ht="15" thickBot="1" x14ac:dyDescent="0.35">
      <c r="B27" s="2"/>
    </row>
    <row r="28" spans="2:9" ht="14.4" customHeight="1" x14ac:dyDescent="0.3">
      <c r="B28" s="45" t="s">
        <v>600</v>
      </c>
      <c r="C28" s="46"/>
      <c r="D28" s="46"/>
      <c r="E28" s="47"/>
    </row>
    <row r="29" spans="2:9" x14ac:dyDescent="0.3">
      <c r="B29" s="48"/>
      <c r="C29" s="44"/>
      <c r="D29" s="44"/>
      <c r="E29" s="49"/>
    </row>
    <row r="30" spans="2:9" ht="15.6" x14ac:dyDescent="0.3">
      <c r="B30" s="3" t="s">
        <v>578</v>
      </c>
      <c r="C30" s="4" t="s">
        <v>579</v>
      </c>
      <c r="D30" s="4" t="s">
        <v>579</v>
      </c>
      <c r="E30" s="5" t="s">
        <v>580</v>
      </c>
    </row>
    <row r="31" spans="2:9" ht="43.2" customHeight="1" x14ac:dyDescent="0.3">
      <c r="B31" s="6">
        <v>10</v>
      </c>
      <c r="C31" s="7" t="s">
        <v>592</v>
      </c>
      <c r="D31" s="7" t="s">
        <v>592</v>
      </c>
      <c r="E31" s="8" t="s">
        <v>593</v>
      </c>
    </row>
    <row r="32" spans="2:9" ht="72" customHeight="1" x14ac:dyDescent="0.3">
      <c r="B32" s="6">
        <v>11</v>
      </c>
      <c r="C32" s="7" t="s">
        <v>594</v>
      </c>
      <c r="D32" s="7" t="s">
        <v>594</v>
      </c>
      <c r="E32" s="8" t="s">
        <v>618</v>
      </c>
    </row>
    <row r="33" spans="2:5" ht="72" customHeight="1" thickBot="1" x14ac:dyDescent="0.35">
      <c r="B33" s="9">
        <v>12</v>
      </c>
      <c r="C33" s="10" t="s">
        <v>617</v>
      </c>
      <c r="D33" s="10" t="s">
        <v>617</v>
      </c>
      <c r="E33" s="11" t="s">
        <v>593</v>
      </c>
    </row>
  </sheetData>
  <mergeCells count="6">
    <mergeCell ref="F12:I13"/>
    <mergeCell ref="B3:E4"/>
    <mergeCell ref="B11:E12"/>
    <mergeCell ref="B17:E18"/>
    <mergeCell ref="B28:E29"/>
    <mergeCell ref="B24:E2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62ABA-7974-4CBE-9C83-63EF0D8B7411}">
  <dimension ref="B1:K80"/>
  <sheetViews>
    <sheetView topLeftCell="B1" zoomScaleNormal="100" workbookViewId="0">
      <selection activeCell="C15" sqref="C15"/>
    </sheetView>
  </sheetViews>
  <sheetFormatPr defaultRowHeight="14.4" x14ac:dyDescent="0.3"/>
  <cols>
    <col min="2" max="2" width="73" customWidth="1"/>
    <col min="3" max="3" width="17.6640625" bestFit="1" customWidth="1"/>
    <col min="4" max="4" width="34.88671875" customWidth="1"/>
    <col min="5" max="5" width="17.6640625" bestFit="1" customWidth="1"/>
    <col min="6" max="6" width="15.5546875" bestFit="1" customWidth="1"/>
    <col min="7" max="7" width="10.21875" bestFit="1" customWidth="1"/>
    <col min="8" max="8" width="5.5546875" bestFit="1" customWidth="1"/>
    <col min="9" max="9" width="7.88671875" bestFit="1" customWidth="1"/>
    <col min="10" max="10" width="21.44140625" bestFit="1" customWidth="1"/>
    <col min="11" max="11" width="10.77734375" bestFit="1" customWidth="1"/>
  </cols>
  <sheetData>
    <row r="1" spans="2:9" x14ac:dyDescent="0.3">
      <c r="B1" s="52" t="s">
        <v>602</v>
      </c>
    </row>
    <row r="2" spans="2:9" x14ac:dyDescent="0.3">
      <c r="B2" s="52"/>
    </row>
    <row r="3" spans="2:9" ht="15" thickBot="1" x14ac:dyDescent="0.35">
      <c r="B3" s="53"/>
    </row>
    <row r="4" spans="2:9" x14ac:dyDescent="0.3">
      <c r="B4" s="50" t="s">
        <v>601</v>
      </c>
    </row>
    <row r="5" spans="2:9" x14ac:dyDescent="0.3">
      <c r="B5" s="51"/>
    </row>
    <row r="6" spans="2:9" x14ac:dyDescent="0.3">
      <c r="B6" s="51"/>
    </row>
    <row r="7" spans="2:9" ht="43.8" customHeight="1" x14ac:dyDescent="0.3">
      <c r="B7" s="15" t="s">
        <v>581</v>
      </c>
      <c r="D7" s="17" t="s">
        <v>606</v>
      </c>
      <c r="F7" s="30" t="s">
        <v>607</v>
      </c>
      <c r="G7" s="17" t="s">
        <v>606</v>
      </c>
      <c r="I7" s="17" t="s">
        <v>610</v>
      </c>
    </row>
    <row r="8" spans="2:9" ht="43.2" customHeight="1" x14ac:dyDescent="0.3">
      <c r="B8" s="15" t="s">
        <v>583</v>
      </c>
      <c r="D8" s="17">
        <v>164</v>
      </c>
      <c r="F8" s="31" t="s">
        <v>535</v>
      </c>
      <c r="G8" s="17">
        <v>22</v>
      </c>
      <c r="I8" s="38">
        <v>9.5294117647058822</v>
      </c>
    </row>
    <row r="9" spans="2:9" ht="43.8" customHeight="1" x14ac:dyDescent="0.3">
      <c r="B9" s="15" t="s">
        <v>584</v>
      </c>
      <c r="F9" s="31" t="s">
        <v>554</v>
      </c>
      <c r="G9" s="17">
        <v>19</v>
      </c>
    </row>
    <row r="10" spans="2:9" ht="42.6" customHeight="1" x14ac:dyDescent="0.3">
      <c r="B10" s="15" t="s">
        <v>619</v>
      </c>
      <c r="F10" s="31" t="s">
        <v>538</v>
      </c>
      <c r="G10" s="17">
        <v>47</v>
      </c>
    </row>
    <row r="11" spans="2:9" ht="43.8" customHeight="1" x14ac:dyDescent="0.3">
      <c r="B11" s="15" t="s">
        <v>585</v>
      </c>
      <c r="F11" s="31" t="s">
        <v>564</v>
      </c>
      <c r="G11" s="17">
        <v>9</v>
      </c>
    </row>
    <row r="12" spans="2:9" ht="43.2" customHeight="1" x14ac:dyDescent="0.3">
      <c r="B12" s="15" t="s">
        <v>587</v>
      </c>
      <c r="F12" s="31" t="s">
        <v>521</v>
      </c>
      <c r="G12" s="17">
        <v>16</v>
      </c>
    </row>
    <row r="13" spans="2:9" ht="43.2" customHeight="1" x14ac:dyDescent="0.3">
      <c r="B13" s="15" t="s">
        <v>588</v>
      </c>
      <c r="F13" s="31" t="s">
        <v>608</v>
      </c>
      <c r="G13" s="17">
        <v>113</v>
      </c>
    </row>
    <row r="14" spans="2:9" ht="50.4" customHeight="1" x14ac:dyDescent="0.3">
      <c r="B14" s="15" t="s">
        <v>590</v>
      </c>
    </row>
    <row r="15" spans="2:9" ht="43.8" customHeight="1" x14ac:dyDescent="0.3">
      <c r="B15" s="15" t="s">
        <v>612</v>
      </c>
    </row>
    <row r="16" spans="2:9" ht="43.2" customHeight="1" x14ac:dyDescent="0.3">
      <c r="B16" s="15" t="s">
        <v>592</v>
      </c>
      <c r="D16" s="32" t="s">
        <v>607</v>
      </c>
      <c r="E16" t="s">
        <v>606</v>
      </c>
    </row>
    <row r="17" spans="2:6" ht="43.2" customHeight="1" x14ac:dyDescent="0.3">
      <c r="B17" s="15" t="s">
        <v>594</v>
      </c>
      <c r="D17" s="33" t="s">
        <v>121</v>
      </c>
      <c r="E17">
        <v>41</v>
      </c>
    </row>
    <row r="18" spans="2:6" ht="43.2" customHeight="1" thickBot="1" x14ac:dyDescent="0.35">
      <c r="B18" s="16" t="s">
        <v>620</v>
      </c>
      <c r="D18" s="33" t="s">
        <v>34</v>
      </c>
      <c r="E18">
        <v>53</v>
      </c>
    </row>
    <row r="19" spans="2:6" x14ac:dyDescent="0.3">
      <c r="D19" s="33" t="s">
        <v>56</v>
      </c>
      <c r="E19">
        <v>29</v>
      </c>
    </row>
    <row r="20" spans="2:6" x14ac:dyDescent="0.3">
      <c r="D20" s="33" t="s">
        <v>76</v>
      </c>
      <c r="E20">
        <v>23</v>
      </c>
    </row>
    <row r="21" spans="2:6" x14ac:dyDescent="0.3">
      <c r="D21" s="33" t="s">
        <v>570</v>
      </c>
      <c r="E21">
        <v>18</v>
      </c>
    </row>
    <row r="22" spans="2:6" x14ac:dyDescent="0.3">
      <c r="D22" s="33" t="s">
        <v>608</v>
      </c>
      <c r="E22">
        <v>164</v>
      </c>
    </row>
    <row r="24" spans="2:6" ht="15.6" x14ac:dyDescent="0.3">
      <c r="B24" s="30" t="s">
        <v>607</v>
      </c>
      <c r="C24" s="17" t="s">
        <v>609</v>
      </c>
      <c r="E24" s="30" t="s">
        <v>607</v>
      </c>
      <c r="F24" s="17" t="s">
        <v>606</v>
      </c>
    </row>
    <row r="25" spans="2:6" ht="15.6" x14ac:dyDescent="0.3">
      <c r="B25" s="31" t="s">
        <v>83</v>
      </c>
      <c r="C25" s="17">
        <v>83</v>
      </c>
      <c r="E25" s="31" t="s">
        <v>518</v>
      </c>
      <c r="F25" s="17">
        <v>14</v>
      </c>
    </row>
    <row r="26" spans="2:6" ht="15.6" x14ac:dyDescent="0.3">
      <c r="B26" s="31" t="s">
        <v>123</v>
      </c>
      <c r="C26" s="17">
        <v>23</v>
      </c>
      <c r="E26" s="31" t="s">
        <v>524</v>
      </c>
      <c r="F26" s="17">
        <v>9</v>
      </c>
    </row>
    <row r="27" spans="2:6" ht="15.6" x14ac:dyDescent="0.3">
      <c r="B27" s="31" t="s">
        <v>114</v>
      </c>
      <c r="C27" s="17">
        <v>110</v>
      </c>
      <c r="E27" s="31" t="s">
        <v>559</v>
      </c>
      <c r="F27" s="17">
        <v>9</v>
      </c>
    </row>
    <row r="28" spans="2:6" ht="15.6" x14ac:dyDescent="0.3">
      <c r="B28" s="31" t="s">
        <v>213</v>
      </c>
      <c r="C28" s="17">
        <v>161</v>
      </c>
      <c r="E28" s="31" t="s">
        <v>562</v>
      </c>
      <c r="F28" s="17">
        <v>14</v>
      </c>
    </row>
    <row r="29" spans="2:6" ht="15.6" x14ac:dyDescent="0.3">
      <c r="B29" s="31" t="s">
        <v>517</v>
      </c>
      <c r="C29" s="17">
        <v>147</v>
      </c>
      <c r="E29" s="31" t="s">
        <v>553</v>
      </c>
      <c r="F29" s="17">
        <v>9</v>
      </c>
    </row>
    <row r="30" spans="2:6" ht="15.6" x14ac:dyDescent="0.3">
      <c r="B30" s="31" t="s">
        <v>541</v>
      </c>
      <c r="C30" s="17">
        <v>83</v>
      </c>
      <c r="E30" s="31" t="s">
        <v>545</v>
      </c>
      <c r="F30" s="17">
        <v>7</v>
      </c>
    </row>
    <row r="31" spans="2:6" ht="15.6" x14ac:dyDescent="0.3">
      <c r="B31" s="31" t="s">
        <v>90</v>
      </c>
      <c r="C31" s="17">
        <v>109</v>
      </c>
      <c r="E31" s="31" t="s">
        <v>531</v>
      </c>
      <c r="F31" s="17">
        <v>14</v>
      </c>
    </row>
    <row r="32" spans="2:6" ht="15.6" x14ac:dyDescent="0.3">
      <c r="B32" s="31" t="s">
        <v>504</v>
      </c>
      <c r="C32" s="17">
        <v>39</v>
      </c>
      <c r="E32" s="31" t="s">
        <v>547</v>
      </c>
      <c r="F32" s="17">
        <v>21</v>
      </c>
    </row>
    <row r="33" spans="2:6" ht="15.6" x14ac:dyDescent="0.3">
      <c r="B33" s="31" t="s">
        <v>58</v>
      </c>
      <c r="C33" s="17">
        <v>111</v>
      </c>
      <c r="E33" s="31" t="s">
        <v>549</v>
      </c>
      <c r="F33" s="17">
        <v>7</v>
      </c>
    </row>
    <row r="34" spans="2:6" ht="15.6" x14ac:dyDescent="0.3">
      <c r="B34" s="31" t="s">
        <v>36</v>
      </c>
      <c r="C34" s="17">
        <v>59</v>
      </c>
      <c r="E34" s="31" t="s">
        <v>528</v>
      </c>
      <c r="F34" s="17">
        <v>24</v>
      </c>
    </row>
    <row r="35" spans="2:6" ht="15.6" x14ac:dyDescent="0.3">
      <c r="B35" s="31" t="s">
        <v>310</v>
      </c>
      <c r="C35" s="17">
        <v>98</v>
      </c>
      <c r="E35" s="31" t="s">
        <v>542</v>
      </c>
      <c r="F35" s="17">
        <v>10</v>
      </c>
    </row>
    <row r="36" spans="2:6" ht="15.6" x14ac:dyDescent="0.3">
      <c r="B36" s="31" t="s">
        <v>78</v>
      </c>
      <c r="C36" s="17">
        <v>73</v>
      </c>
      <c r="E36" s="31" t="s">
        <v>536</v>
      </c>
      <c r="F36" s="17">
        <v>12</v>
      </c>
    </row>
    <row r="37" spans="2:6" ht="15.6" x14ac:dyDescent="0.3">
      <c r="B37" s="31" t="s">
        <v>147</v>
      </c>
      <c r="C37" s="17">
        <v>40</v>
      </c>
      <c r="E37" s="31" t="s">
        <v>532</v>
      </c>
      <c r="F37" s="17">
        <v>14</v>
      </c>
    </row>
    <row r="38" spans="2:6" ht="15.6" x14ac:dyDescent="0.3">
      <c r="B38" s="31" t="s">
        <v>170</v>
      </c>
      <c r="C38" s="17">
        <v>160</v>
      </c>
      <c r="E38" s="31" t="s">
        <v>608</v>
      </c>
      <c r="F38" s="17">
        <v>164</v>
      </c>
    </row>
    <row r="39" spans="2:6" ht="15.6" x14ac:dyDescent="0.3">
      <c r="B39" s="31" t="s">
        <v>608</v>
      </c>
      <c r="C39" s="17">
        <v>1296</v>
      </c>
    </row>
    <row r="41" spans="2:6" ht="15.6" x14ac:dyDescent="0.3">
      <c r="B41" s="32" t="s">
        <v>607</v>
      </c>
      <c r="C41" t="s">
        <v>606</v>
      </c>
      <c r="E41" s="30" t="s">
        <v>607</v>
      </c>
      <c r="F41" s="17" t="s">
        <v>609</v>
      </c>
    </row>
    <row r="42" spans="2:6" ht="15.6" x14ac:dyDescent="0.3">
      <c r="B42" s="33" t="s">
        <v>121</v>
      </c>
      <c r="C42">
        <v>41</v>
      </c>
      <c r="E42" s="31" t="s">
        <v>69</v>
      </c>
      <c r="F42" s="17">
        <v>345</v>
      </c>
    </row>
    <row r="43" spans="2:6" ht="15.6" x14ac:dyDescent="0.3">
      <c r="B43" s="33" t="s">
        <v>34</v>
      </c>
      <c r="C43">
        <v>53</v>
      </c>
      <c r="E43" s="31" t="s">
        <v>561</v>
      </c>
      <c r="F43" s="17">
        <v>158</v>
      </c>
    </row>
    <row r="44" spans="2:6" ht="15.6" x14ac:dyDescent="0.3">
      <c r="B44" s="33" t="s">
        <v>56</v>
      </c>
      <c r="C44">
        <v>29</v>
      </c>
      <c r="E44" s="31" t="s">
        <v>133</v>
      </c>
      <c r="F44" s="17">
        <v>550</v>
      </c>
    </row>
    <row r="45" spans="2:6" ht="15.6" x14ac:dyDescent="0.3">
      <c r="B45" s="33" t="s">
        <v>76</v>
      </c>
      <c r="C45">
        <v>23</v>
      </c>
      <c r="E45" s="31" t="s">
        <v>45</v>
      </c>
      <c r="F45" s="17">
        <v>243</v>
      </c>
    </row>
    <row r="46" spans="2:6" ht="15.6" x14ac:dyDescent="0.3">
      <c r="B46" s="33" t="s">
        <v>570</v>
      </c>
      <c r="C46">
        <v>18</v>
      </c>
      <c r="E46" s="31" t="s">
        <v>608</v>
      </c>
      <c r="F46" s="17">
        <v>1296</v>
      </c>
    </row>
    <row r="47" spans="2:6" x14ac:dyDescent="0.3">
      <c r="B47" s="33" t="s">
        <v>608</v>
      </c>
      <c r="C47">
        <v>164</v>
      </c>
    </row>
    <row r="50" spans="2:6" ht="15.6" x14ac:dyDescent="0.3">
      <c r="B50" s="30" t="s">
        <v>607</v>
      </c>
      <c r="C50" s="17" t="s">
        <v>606</v>
      </c>
      <c r="E50" s="30" t="s">
        <v>607</v>
      </c>
      <c r="F50" s="17" t="s">
        <v>606</v>
      </c>
    </row>
    <row r="51" spans="2:6" ht="15.6" x14ac:dyDescent="0.3">
      <c r="B51" s="31">
        <v>1</v>
      </c>
      <c r="C51" s="17">
        <v>30</v>
      </c>
      <c r="E51" s="31" t="s">
        <v>498</v>
      </c>
      <c r="F51" s="17">
        <v>14</v>
      </c>
    </row>
    <row r="52" spans="2:6" ht="15.6" x14ac:dyDescent="0.3">
      <c r="B52" s="31">
        <v>2</v>
      </c>
      <c r="C52" s="17">
        <v>16</v>
      </c>
      <c r="E52" s="31" t="s">
        <v>512</v>
      </c>
      <c r="F52" s="17">
        <v>15</v>
      </c>
    </row>
    <row r="53" spans="2:6" ht="15.6" x14ac:dyDescent="0.3">
      <c r="B53" s="31">
        <v>3</v>
      </c>
      <c r="C53" s="17">
        <v>53</v>
      </c>
      <c r="E53" s="31" t="s">
        <v>510</v>
      </c>
      <c r="F53" s="17">
        <v>16</v>
      </c>
    </row>
    <row r="54" spans="2:6" ht="15.6" x14ac:dyDescent="0.3">
      <c r="B54" s="31">
        <v>4</v>
      </c>
      <c r="C54" s="17">
        <v>14</v>
      </c>
      <c r="E54" s="31" t="s">
        <v>515</v>
      </c>
      <c r="F54" s="17">
        <v>12</v>
      </c>
    </row>
    <row r="55" spans="2:6" ht="15.6" x14ac:dyDescent="0.3">
      <c r="B55" s="31">
        <v>5</v>
      </c>
      <c r="C55" s="17">
        <v>38</v>
      </c>
      <c r="E55" s="31" t="s">
        <v>509</v>
      </c>
      <c r="F55" s="17">
        <v>19</v>
      </c>
    </row>
    <row r="56" spans="2:6" ht="15.6" x14ac:dyDescent="0.3">
      <c r="B56" s="31" t="s">
        <v>613</v>
      </c>
      <c r="C56" s="17">
        <v>13</v>
      </c>
      <c r="E56" s="31" t="s">
        <v>502</v>
      </c>
      <c r="F56" s="17">
        <v>15</v>
      </c>
    </row>
    <row r="57" spans="2:6" ht="15.6" x14ac:dyDescent="0.3">
      <c r="B57" s="31" t="s">
        <v>608</v>
      </c>
      <c r="C57" s="17">
        <v>164</v>
      </c>
      <c r="E57" s="31" t="s">
        <v>500</v>
      </c>
      <c r="F57" s="17">
        <v>18</v>
      </c>
    </row>
    <row r="58" spans="2:6" ht="15.6" x14ac:dyDescent="0.3">
      <c r="E58" s="31" t="s">
        <v>514</v>
      </c>
      <c r="F58" s="17">
        <v>10</v>
      </c>
    </row>
    <row r="59" spans="2:6" ht="15.6" x14ac:dyDescent="0.3">
      <c r="E59" s="31" t="s">
        <v>516</v>
      </c>
      <c r="F59" s="17">
        <v>10</v>
      </c>
    </row>
    <row r="60" spans="2:6" ht="15.6" x14ac:dyDescent="0.3">
      <c r="E60" s="31" t="s">
        <v>505</v>
      </c>
      <c r="F60" s="17">
        <v>13</v>
      </c>
    </row>
    <row r="61" spans="2:6" ht="15.6" x14ac:dyDescent="0.3">
      <c r="E61" s="31" t="s">
        <v>496</v>
      </c>
      <c r="F61" s="17">
        <v>14</v>
      </c>
    </row>
    <row r="62" spans="2:6" ht="15.6" x14ac:dyDescent="0.3">
      <c r="E62" s="31" t="s">
        <v>513</v>
      </c>
      <c r="F62" s="17">
        <v>8</v>
      </c>
    </row>
    <row r="63" spans="2:6" ht="15.6" x14ac:dyDescent="0.3">
      <c r="E63" s="31" t="s">
        <v>608</v>
      </c>
      <c r="F63" s="17">
        <v>164</v>
      </c>
    </row>
    <row r="66" spans="2:11" ht="15.6" x14ac:dyDescent="0.3">
      <c r="B66" s="30" t="s">
        <v>607</v>
      </c>
      <c r="C66" s="17" t="s">
        <v>610</v>
      </c>
      <c r="E66" s="32" t="s">
        <v>606</v>
      </c>
      <c r="F66" s="32" t="s">
        <v>611</v>
      </c>
    </row>
    <row r="67" spans="2:11" ht="15.6" x14ac:dyDescent="0.3">
      <c r="B67" s="31" t="s">
        <v>498</v>
      </c>
      <c r="C67" s="17">
        <v>9.8461538461538467</v>
      </c>
      <c r="E67" s="32" t="s">
        <v>607</v>
      </c>
      <c r="F67" t="s">
        <v>121</v>
      </c>
      <c r="G67" t="s">
        <v>34</v>
      </c>
      <c r="H67" t="s">
        <v>56</v>
      </c>
      <c r="I67" t="s">
        <v>76</v>
      </c>
      <c r="J67" t="s">
        <v>570</v>
      </c>
      <c r="K67" t="s">
        <v>608</v>
      </c>
    </row>
    <row r="68" spans="2:11" ht="15.6" x14ac:dyDescent="0.3">
      <c r="B68" s="31" t="s">
        <v>512</v>
      </c>
      <c r="C68" s="17">
        <v>13.25</v>
      </c>
      <c r="E68" s="33" t="s">
        <v>498</v>
      </c>
      <c r="F68">
        <v>5</v>
      </c>
      <c r="G68">
        <v>4</v>
      </c>
      <c r="H68">
        <v>2</v>
      </c>
      <c r="I68">
        <v>1</v>
      </c>
      <c r="J68">
        <v>2</v>
      </c>
      <c r="K68">
        <v>14</v>
      </c>
    </row>
    <row r="69" spans="2:11" ht="15.6" x14ac:dyDescent="0.3">
      <c r="B69" s="31" t="s">
        <v>510</v>
      </c>
      <c r="C69" s="17">
        <v>7.25</v>
      </c>
      <c r="E69" s="33" t="s">
        <v>512</v>
      </c>
      <c r="F69">
        <v>9</v>
      </c>
      <c r="G69">
        <v>7</v>
      </c>
      <c r="H69">
        <v>5</v>
      </c>
      <c r="I69">
        <v>4</v>
      </c>
      <c r="J69">
        <v>4</v>
      </c>
      <c r="K69">
        <v>29</v>
      </c>
    </row>
    <row r="70" spans="2:11" ht="15.6" x14ac:dyDescent="0.3">
      <c r="B70" s="31" t="s">
        <v>515</v>
      </c>
      <c r="C70" s="17">
        <v>7.75</v>
      </c>
      <c r="E70" s="33" t="s">
        <v>510</v>
      </c>
      <c r="F70">
        <v>12</v>
      </c>
      <c r="G70">
        <v>11</v>
      </c>
      <c r="H70">
        <v>10</v>
      </c>
      <c r="I70">
        <v>7</v>
      </c>
      <c r="J70">
        <v>5</v>
      </c>
      <c r="K70">
        <v>45</v>
      </c>
    </row>
    <row r="71" spans="2:11" ht="15.6" x14ac:dyDescent="0.3">
      <c r="B71" s="31" t="s">
        <v>509</v>
      </c>
      <c r="C71" s="17">
        <v>12.833333333333334</v>
      </c>
      <c r="E71" s="33" t="s">
        <v>515</v>
      </c>
      <c r="F71">
        <v>15</v>
      </c>
      <c r="G71">
        <v>13</v>
      </c>
      <c r="H71">
        <v>11</v>
      </c>
      <c r="I71">
        <v>9</v>
      </c>
      <c r="J71">
        <v>9</v>
      </c>
      <c r="K71">
        <v>57</v>
      </c>
    </row>
    <row r="72" spans="2:11" ht="15.6" x14ac:dyDescent="0.3">
      <c r="B72" s="31" t="s">
        <v>502</v>
      </c>
      <c r="C72" s="17">
        <v>9.3333333333333339</v>
      </c>
      <c r="E72" s="33" t="s">
        <v>509</v>
      </c>
      <c r="F72">
        <v>18</v>
      </c>
      <c r="G72">
        <v>20</v>
      </c>
      <c r="H72">
        <v>14</v>
      </c>
      <c r="I72">
        <v>12</v>
      </c>
      <c r="J72">
        <v>12</v>
      </c>
      <c r="K72">
        <v>76</v>
      </c>
    </row>
    <row r="73" spans="2:11" ht="15.6" x14ac:dyDescent="0.3">
      <c r="B73" s="31" t="s">
        <v>500</v>
      </c>
      <c r="C73" s="17">
        <v>10.375</v>
      </c>
      <c r="E73" s="33" t="s">
        <v>502</v>
      </c>
      <c r="F73">
        <v>21</v>
      </c>
      <c r="G73">
        <v>28</v>
      </c>
      <c r="H73">
        <v>17</v>
      </c>
      <c r="I73">
        <v>13</v>
      </c>
      <c r="J73">
        <v>12</v>
      </c>
      <c r="K73">
        <v>91</v>
      </c>
    </row>
    <row r="74" spans="2:11" ht="15.6" x14ac:dyDescent="0.3">
      <c r="B74" s="31" t="s">
        <v>514</v>
      </c>
      <c r="C74" s="17">
        <v>10.25</v>
      </c>
      <c r="E74" s="33" t="s">
        <v>500</v>
      </c>
      <c r="F74">
        <v>30</v>
      </c>
      <c r="G74">
        <v>34</v>
      </c>
      <c r="H74">
        <v>18</v>
      </c>
      <c r="I74">
        <v>14</v>
      </c>
      <c r="J74">
        <v>13</v>
      </c>
      <c r="K74">
        <v>109</v>
      </c>
    </row>
    <row r="75" spans="2:11" ht="15.6" x14ac:dyDescent="0.3">
      <c r="B75" s="31" t="s">
        <v>516</v>
      </c>
      <c r="C75" s="17">
        <v>11.8</v>
      </c>
      <c r="E75" s="33" t="s">
        <v>514</v>
      </c>
      <c r="F75">
        <v>30</v>
      </c>
      <c r="G75">
        <v>38</v>
      </c>
      <c r="H75">
        <v>20</v>
      </c>
      <c r="I75">
        <v>17</v>
      </c>
      <c r="J75">
        <v>14</v>
      </c>
      <c r="K75">
        <v>119</v>
      </c>
    </row>
    <row r="76" spans="2:11" ht="15.6" x14ac:dyDescent="0.3">
      <c r="B76" s="31" t="s">
        <v>505</v>
      </c>
      <c r="C76" s="17">
        <v>5.9</v>
      </c>
      <c r="E76" s="33" t="s">
        <v>516</v>
      </c>
      <c r="F76">
        <v>32</v>
      </c>
      <c r="G76">
        <v>40</v>
      </c>
      <c r="H76">
        <v>22</v>
      </c>
      <c r="I76">
        <v>19</v>
      </c>
      <c r="J76">
        <v>16</v>
      </c>
      <c r="K76">
        <v>129</v>
      </c>
    </row>
    <row r="77" spans="2:11" ht="15.6" x14ac:dyDescent="0.3">
      <c r="B77" s="31" t="s">
        <v>496</v>
      </c>
      <c r="C77" s="17">
        <v>7.5</v>
      </c>
      <c r="E77" s="33" t="s">
        <v>505</v>
      </c>
      <c r="F77">
        <v>35</v>
      </c>
      <c r="G77">
        <v>45</v>
      </c>
      <c r="H77">
        <v>27</v>
      </c>
      <c r="I77">
        <v>19</v>
      </c>
      <c r="J77">
        <v>16</v>
      </c>
      <c r="K77">
        <v>142</v>
      </c>
    </row>
    <row r="78" spans="2:11" ht="15.6" x14ac:dyDescent="0.3">
      <c r="B78" s="31" t="s">
        <v>513</v>
      </c>
      <c r="C78" s="17">
        <v>6.375</v>
      </c>
      <c r="E78" s="33" t="s">
        <v>496</v>
      </c>
      <c r="F78">
        <v>38</v>
      </c>
      <c r="G78">
        <v>51</v>
      </c>
      <c r="H78">
        <v>28</v>
      </c>
      <c r="I78">
        <v>21</v>
      </c>
      <c r="J78">
        <v>18</v>
      </c>
      <c r="K78">
        <v>156</v>
      </c>
    </row>
    <row r="79" spans="2:11" ht="15.6" x14ac:dyDescent="0.3">
      <c r="B79" s="31" t="s">
        <v>608</v>
      </c>
      <c r="C79" s="17">
        <v>9.5294117647058822</v>
      </c>
      <c r="E79" s="33" t="s">
        <v>513</v>
      </c>
      <c r="F79">
        <v>41</v>
      </c>
      <c r="G79">
        <v>53</v>
      </c>
      <c r="H79">
        <v>29</v>
      </c>
      <c r="I79">
        <v>23</v>
      </c>
      <c r="J79">
        <v>18</v>
      </c>
      <c r="K79">
        <v>164</v>
      </c>
    </row>
    <row r="80" spans="2:11" x14ac:dyDescent="0.3">
      <c r="E80" s="33" t="s">
        <v>608</v>
      </c>
    </row>
  </sheetData>
  <mergeCells count="2">
    <mergeCell ref="B4:B6"/>
    <mergeCell ref="B1:B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A65E4-B682-4C9F-BCD2-6F18EEA63F20}">
  <dimension ref="A1:W38"/>
  <sheetViews>
    <sheetView showGridLines="0" showRowColHeaders="0" zoomScaleNormal="100" workbookViewId="0">
      <selection activeCell="I42" sqref="I42"/>
    </sheetView>
  </sheetViews>
  <sheetFormatPr defaultRowHeight="14.4" x14ac:dyDescent="0.3"/>
  <sheetData>
    <row r="1" spans="1:23" x14ac:dyDescent="0.3">
      <c r="A1" s="41" t="s">
        <v>614</v>
      </c>
      <c r="B1" s="42"/>
      <c r="C1" s="42"/>
      <c r="D1" s="42"/>
      <c r="E1" s="42"/>
      <c r="F1" s="42"/>
      <c r="G1" s="42"/>
      <c r="H1" s="42"/>
      <c r="I1" s="42"/>
      <c r="J1" s="42"/>
      <c r="K1" s="42"/>
      <c r="L1" s="42"/>
      <c r="M1" s="42"/>
      <c r="N1" s="42"/>
      <c r="O1" s="42"/>
      <c r="P1" s="42"/>
      <c r="Q1" s="42"/>
      <c r="R1" s="42"/>
      <c r="S1" s="42"/>
      <c r="T1" s="42"/>
      <c r="U1" s="42"/>
      <c r="V1" s="42"/>
      <c r="W1" s="42"/>
    </row>
    <row r="2" spans="1:23" x14ac:dyDescent="0.3">
      <c r="A2" s="42"/>
      <c r="B2" s="42"/>
      <c r="C2" s="42"/>
      <c r="D2" s="42"/>
      <c r="E2" s="42"/>
      <c r="F2" s="42"/>
      <c r="G2" s="42"/>
      <c r="H2" s="42"/>
      <c r="I2" s="42"/>
      <c r="J2" s="42"/>
      <c r="K2" s="42"/>
      <c r="L2" s="42"/>
      <c r="M2" s="42"/>
      <c r="N2" s="42"/>
      <c r="O2" s="42"/>
      <c r="P2" s="42"/>
      <c r="Q2" s="42"/>
      <c r="R2" s="42"/>
      <c r="S2" s="42"/>
      <c r="T2" s="42"/>
      <c r="U2" s="42"/>
      <c r="V2" s="42"/>
      <c r="W2" s="42"/>
    </row>
    <row r="3" spans="1:23" x14ac:dyDescent="0.3">
      <c r="A3" s="42"/>
      <c r="B3" s="42"/>
      <c r="C3" s="42"/>
      <c r="D3" s="42"/>
      <c r="E3" s="42"/>
      <c r="F3" s="42"/>
      <c r="G3" s="42"/>
      <c r="H3" s="42"/>
      <c r="I3" s="42"/>
      <c r="J3" s="42"/>
      <c r="K3" s="42"/>
      <c r="L3" s="42"/>
      <c r="M3" s="42"/>
      <c r="N3" s="42"/>
      <c r="O3" s="42"/>
      <c r="P3" s="42"/>
      <c r="Q3" s="42"/>
      <c r="R3" s="42"/>
      <c r="S3" s="42"/>
      <c r="T3" s="42"/>
      <c r="U3" s="42"/>
      <c r="V3" s="42"/>
      <c r="W3" s="42"/>
    </row>
    <row r="6" spans="1:23" x14ac:dyDescent="0.3">
      <c r="E6" s="35"/>
    </row>
    <row r="10" spans="1:23" x14ac:dyDescent="0.3">
      <c r="G10" s="36"/>
    </row>
    <row r="35" spans="1:23" x14ac:dyDescent="0.3">
      <c r="V35" s="37"/>
    </row>
    <row r="38" spans="1:23" x14ac:dyDescent="0.3">
      <c r="A38" s="34"/>
      <c r="W38" s="34"/>
    </row>
  </sheetData>
  <sheetProtection sheet="1" objects="1" scenarios="1" selectLockedCells="1" pivotTables="0" selectUnlockedCells="1"/>
  <mergeCells count="1">
    <mergeCell ref="A1:W3"/>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29918DD-427C-454A-A4C6-E708076EAA4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hazop_risk_analysis_uncleaned</vt:lpstr>
      <vt:lpstr>hazop_risk_analysis_cleaned</vt:lpstr>
      <vt:lpstr>KPI SECTION</vt:lpstr>
      <vt:lpstr>Supportive_Pivot_table</vt:lpstr>
      <vt:lpstr>hazop_risk_analysis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vicky kumar</dc:creator>
  <cp:lastModifiedBy>vicky kumar</cp:lastModifiedBy>
  <dcterms:created xsi:type="dcterms:W3CDTF">2026-08-14T17:23:46Z</dcterms:created>
  <dcterms:modified xsi:type="dcterms:W3CDTF">2026-08-24T11:03:08Z</dcterms:modified>
</cp:coreProperties>
</file>